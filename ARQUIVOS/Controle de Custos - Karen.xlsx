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.1.13\engenharia\CLOUD ENGENHARIA\HIGOR SILVA\"/>
    </mc:Choice>
  </mc:AlternateContent>
  <xr:revisionPtr revIDLastSave="0" documentId="13_ncr:1_{79653A6D-9FDF-4161-8D30-DF97319E8CD6}" xr6:coauthVersionLast="47" xr6:coauthVersionMax="47" xr10:uidLastSave="{00000000-0000-0000-0000-000000000000}"/>
  <bookViews>
    <workbookView xWindow="28680" yWindow="-120" windowWidth="24240" windowHeight="13020" activeTab="1" xr2:uid="{99C0D49C-475C-4445-8FBD-C12F50D8372F}"/>
  </bookViews>
  <sheets>
    <sheet name="TOTAL" sheetId="2" r:id="rId1"/>
    <sheet name="CENTRO" sheetId="3" r:id="rId2"/>
    <sheet name="COHAMA" sheetId="5" r:id="rId3"/>
    <sheet name="MAIOBÃO" sheetId="6" r:id="rId4"/>
    <sheet name="COHAB" sheetId="8" r:id="rId5"/>
    <sheet name="SÃO CRISTÓVÃO" sheetId="9" r:id="rId6"/>
    <sheet name="AFRICANOS" sheetId="10" r:id="rId7"/>
    <sheet name="RENASCENÇA" sheetId="11" r:id="rId8"/>
    <sheet name="SANTA INÊS" sheetId="12" r:id="rId9"/>
    <sheet name="DIRCEU" sheetId="13" r:id="rId10"/>
    <sheet name="CD BR" sheetId="17" r:id="rId11"/>
    <sheet name="CH ADM" sheetId="16" r:id="rId12"/>
    <sheet name="BACABAL" sheetId="15" r:id="rId13"/>
    <sheet name="HOMERO" sheetId="14" r:id="rId14"/>
    <sheet name="VILA ISABEL" sheetId="21" r:id="rId15"/>
    <sheet name="CAXIAS" sheetId="20" r:id="rId16"/>
    <sheet name="FESTI TERESINA" sheetId="19" r:id="rId17"/>
    <sheet name="PARQUE PIAUÍ" sheetId="18" r:id="rId18"/>
    <sheet name="ARAÇAGY" sheetId="2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7" i="3" l="1"/>
  <c r="AN16" i="3"/>
  <c r="AJ16" i="3"/>
  <c r="AF16" i="3"/>
  <c r="AP16" i="3" l="1"/>
  <c r="X16" i="3"/>
  <c r="T16" i="3"/>
  <c r="P26" i="6"/>
  <c r="P16" i="3"/>
  <c r="X17" i="6" l="1"/>
  <c r="T19" i="5"/>
  <c r="P19" i="5"/>
  <c r="X19" i="5"/>
  <c r="L19" i="5"/>
  <c r="L63" i="22"/>
  <c r="H63" i="22"/>
  <c r="D63" i="22"/>
  <c r="L33" i="18"/>
  <c r="H33" i="18"/>
  <c r="D33" i="18"/>
  <c r="L10" i="19"/>
  <c r="H10" i="19"/>
  <c r="D10" i="19"/>
  <c r="L10" i="20"/>
  <c r="H10" i="20"/>
  <c r="D10" i="20"/>
  <c r="L13" i="21"/>
  <c r="H13" i="21"/>
  <c r="D13" i="21"/>
  <c r="L14" i="14"/>
  <c r="H14" i="14"/>
  <c r="D14" i="14"/>
  <c r="L9" i="15"/>
  <c r="H9" i="15"/>
  <c r="D9" i="15"/>
  <c r="L7" i="16"/>
  <c r="H7" i="16"/>
  <c r="D7" i="16"/>
  <c r="L24" i="17"/>
  <c r="H24" i="17"/>
  <c r="D24" i="17"/>
  <c r="L13" i="13"/>
  <c r="H13" i="13"/>
  <c r="D13" i="13"/>
  <c r="L14" i="12"/>
  <c r="H14" i="12"/>
  <c r="D14" i="12"/>
  <c r="L17" i="11"/>
  <c r="H17" i="11"/>
  <c r="D17" i="11"/>
  <c r="L17" i="10"/>
  <c r="H17" i="10"/>
  <c r="D17" i="10"/>
  <c r="L13" i="9"/>
  <c r="H13" i="9"/>
  <c r="D13" i="9"/>
  <c r="H15" i="8" l="1"/>
  <c r="D15" i="8"/>
  <c r="H17" i="6"/>
  <c r="D17" i="6"/>
  <c r="H19" i="5"/>
  <c r="D19" i="5"/>
  <c r="L16" i="3"/>
  <c r="H16" i="3"/>
  <c r="D16" i="3"/>
</calcChain>
</file>

<file path=xl/sharedStrings.xml><?xml version="1.0" encoding="utf-8"?>
<sst xmlns="http://schemas.openxmlformats.org/spreadsheetml/2006/main" count="995" uniqueCount="65">
  <si>
    <t>CONTROLE DE CUSTOS MENSAL</t>
  </si>
  <si>
    <t>JANEIRO</t>
  </si>
  <si>
    <t>CT</t>
  </si>
  <si>
    <t>CH</t>
  </si>
  <si>
    <t>MB</t>
  </si>
  <si>
    <t>CB</t>
  </si>
  <si>
    <t>SC</t>
  </si>
  <si>
    <t>AF</t>
  </si>
  <si>
    <t>RE</t>
  </si>
  <si>
    <t>SI</t>
  </si>
  <si>
    <t>DI</t>
  </si>
  <si>
    <t>CDBR</t>
  </si>
  <si>
    <t>ADM</t>
  </si>
  <si>
    <t>BB</t>
  </si>
  <si>
    <t>HO</t>
  </si>
  <si>
    <t>VI</t>
  </si>
  <si>
    <t>CX</t>
  </si>
  <si>
    <t>CD TE</t>
  </si>
  <si>
    <t>PP</t>
  </si>
  <si>
    <t>AR</t>
  </si>
  <si>
    <t>R$</t>
  </si>
  <si>
    <t>NFs CT</t>
  </si>
  <si>
    <t>CUSTOS MENSAIS</t>
  </si>
  <si>
    <t>FEVEREIRO</t>
  </si>
  <si>
    <t>MARÇO</t>
  </si>
  <si>
    <t>PARCELA</t>
  </si>
  <si>
    <t>01/03</t>
  </si>
  <si>
    <t>02/03</t>
  </si>
  <si>
    <t>03/03</t>
  </si>
  <si>
    <t>01/01</t>
  </si>
  <si>
    <t>01/02</t>
  </si>
  <si>
    <t>TOTAL:</t>
  </si>
  <si>
    <t>02/02</t>
  </si>
  <si>
    <t>01/06</t>
  </si>
  <si>
    <t>01/04</t>
  </si>
  <si>
    <t>02/06</t>
  </si>
  <si>
    <t>03/06</t>
  </si>
  <si>
    <t>02/04</t>
  </si>
  <si>
    <t>03/04</t>
  </si>
  <si>
    <t>04/04</t>
  </si>
  <si>
    <t>ABRIL</t>
  </si>
  <si>
    <t>01/05</t>
  </si>
  <si>
    <t>02/05</t>
  </si>
  <si>
    <t>03/05</t>
  </si>
  <si>
    <t>1416556 (ENTRADA)</t>
  </si>
  <si>
    <t>FL-099225</t>
  </si>
  <si>
    <t>FL-099213</t>
  </si>
  <si>
    <t>04/05</t>
  </si>
  <si>
    <t>05/05</t>
  </si>
  <si>
    <t>04/06</t>
  </si>
  <si>
    <t>TOTAL</t>
  </si>
  <si>
    <t>JAN</t>
  </si>
  <si>
    <t>FEV</t>
  </si>
  <si>
    <t>MAR</t>
  </si>
  <si>
    <t>ABR</t>
  </si>
  <si>
    <t>MAI</t>
  </si>
  <si>
    <t>JUN</t>
  </si>
  <si>
    <t>MAIO</t>
  </si>
  <si>
    <t>JUNHO</t>
  </si>
  <si>
    <t>05/06</t>
  </si>
  <si>
    <t>06/06</t>
  </si>
  <si>
    <t>JULHO</t>
  </si>
  <si>
    <t>AGOSTO</t>
  </si>
  <si>
    <t>SETEMBRO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</si>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</sst>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/>
    </xf>
    <xf numFmtId="49" fontId="0" fillId="0" borderId="10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/>
    <xf numFmtId="3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49" fontId="0" fillId="0" borderId="7" xfId="0" applyNumberFormat="1" applyBorder="1" applyAlignment="1">
      <alignment horizontal="center" vertical="center"/>
    </xf>
    <xf numFmtId="164" fontId="2" fillId="0" borderId="9" xfId="0" applyNumberFormat="1" applyFont="1" applyBorder="1" applyAlignment="1">
      <alignment horizontal="right" vertical="center"/>
    </xf>
    <xf numFmtId="164" fontId="0" fillId="0" borderId="9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2465-4E2E-48FF-80FA-AB11FE6B6C3C}">
  <dimension ref="A3:S10"/>
  <sheetViews>
    <sheetView workbookViewId="0">
      <selection activeCell="C5" sqref="C5"/>
    </sheetView>
  </sheetViews>
  <sheetFormatPr defaultRowHeight="14.4" x14ac:dyDescent="0.3"/>
  <cols>
    <col min="1" max="1" width="6.109375" bestFit="1" customWidth="1"/>
  </cols>
  <sheetData>
    <row r="3" spans="1:19" x14ac:dyDescent="0.3">
      <c r="B3" s="45" t="s">
        <v>0</v>
      </c>
      <c r="C3" s="45"/>
      <c r="D3" s="45"/>
    </row>
    <row r="4" spans="1:19" x14ac:dyDescent="0.3">
      <c r="A4" t="s">
        <v>50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</row>
    <row r="5" spans="1:19" x14ac:dyDescent="0.3">
      <c r="A5" s="32" t="s">
        <v>51</v>
      </c>
    </row>
    <row r="6" spans="1:19" x14ac:dyDescent="0.3">
      <c r="A6" s="32" t="s">
        <v>52</v>
      </c>
    </row>
    <row r="7" spans="1:19" x14ac:dyDescent="0.3">
      <c r="A7" s="32" t="s">
        <v>53</v>
      </c>
    </row>
    <row r="8" spans="1:19" x14ac:dyDescent="0.3">
      <c r="A8" s="32" t="s">
        <v>54</v>
      </c>
    </row>
    <row r="9" spans="1:19" x14ac:dyDescent="0.3">
      <c r="A9" s="32" t="s">
        <v>55</v>
      </c>
    </row>
    <row r="10" spans="1:19" x14ac:dyDescent="0.3">
      <c r="A10" s="32" t="s">
        <v>56</v>
      </c>
    </row>
  </sheetData>
  <mergeCells count="1">
    <mergeCell ref="B3:D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D17B-0BB5-465B-81B1-7FBECD87251B}">
  <dimension ref="B1:AP1048573"/>
  <sheetViews>
    <sheetView tabSelected="1" topLeftCell="X1" workbookViewId="0">
      <selection activeCell="AD17" sqref="AD17"/>
    </sheetView>
  </sheetViews>
  <sheetFormatPr defaultRowHeight="14.4" x14ac:dyDescent="0.3"/>
  <cols>
    <col min="2" max="2" width="8" style="3" bestFit="1" customWidth="1"/>
    <col min="3" max="3" width="10.5546875" style="5" bestFit="1" customWidth="1"/>
    <col min="4" max="4" width="10.5546875" style="4" bestFit="1" customWidth="1"/>
    <col min="6" max="6" width="10.109375" style="3" bestFit="1" customWidth="1"/>
    <col min="7" max="7" width="9" style="5" bestFit="1" customWidth="1"/>
    <col min="8" max="8" width="8.88671875" style="3"/>
    <col min="10" max="10" width="8" style="3" bestFit="1" customWidth="1"/>
    <col min="11" max="11" width="9" style="5" bestFit="1" customWidth="1"/>
    <col min="12" max="12" width="10.5546875" style="4" bestFit="1" customWidth="1"/>
    <col min="16" max="16" width="10.5546875" bestFit="1" customWidth="1"/>
    <col min="18" max="18" width="8.88671875" style="33"/>
    <col min="19" max="20" width="11.21875" customWidth="1"/>
    <col min="22" max="22" width="9.109375" bestFit="1" customWidth="1"/>
    <col min="23" max="23" width="10.5546875" bestFit="1" customWidth="1"/>
    <col min="24" max="24" width="11.44140625" customWidth="1"/>
    <col min="27" max="27" width="11" customWidth="1"/>
    <col min="28" max="28" width="13.21875" customWidth="1"/>
    <col min="30" max="30" width="10.5546875" customWidth="1"/>
    <col min="31" max="31" width="11.5546875" customWidth="1"/>
    <col min="32" max="32" width="12" customWidth="1"/>
    <col min="34" max="34" width="10" customWidth="1"/>
    <col min="35" max="35" width="10.5546875" customWidth="1"/>
    <col min="36" max="36" width="11.21875" customWidth="1"/>
    <col min="39" max="39" width="10.88671875" customWidth="1"/>
    <col min="40" max="40" width="12.109375" customWidth="1"/>
    <col min="42" max="42" width="11.5546875" bestFit="1" customWidth="1"/>
  </cols>
  <sheetData>
    <row r="1" spans="2:42" x14ac:dyDescent="0.3">
      <c r="H1" s="4"/>
    </row>
    <row r="2" spans="2:42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42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3"/>
      <c r="R3" s="46" t="s">
        <v>57</v>
      </c>
      <c r="S3" s="5"/>
      <c r="T3" s="3"/>
      <c r="V3" s="9" t="s">
        <v>58</v>
      </c>
      <c r="W3" s="5"/>
      <c r="X3" s="3"/>
      <c r="Z3" s="9" t="s">
        <v>61</v>
      </c>
      <c r="AA3" s="5"/>
      <c r="AB3" s="3"/>
      <c r="AD3" s="9" t="s">
        <v>62</v>
      </c>
      <c r="AE3" s="5"/>
      <c r="AF3" s="3"/>
      <c r="AH3" s="9" t="s">
        <v>63</v>
      </c>
      <c r="AI3" s="5"/>
      <c r="AJ3" s="3"/>
      <c r="AL3" s="9" t="s">
        <v>64</v>
      </c>
      <c r="AM3" s="5"/>
      <c r="AN3" s="3"/>
    </row>
    <row r="4" spans="2:42" x14ac:dyDescent="0.3">
      <c r="B4" s="2" t="s">
        <v>21</v>
      </c>
      <c r="C4" s="2" t="s">
        <v>20</v>
      </c>
      <c r="D4" s="10" t="s">
        <v>25</v>
      </c>
      <c r="F4" s="2" t="s">
        <v>21</v>
      </c>
      <c r="G4" s="2" t="s">
        <v>20</v>
      </c>
      <c r="H4" s="10" t="s">
        <v>25</v>
      </c>
      <c r="J4" s="2" t="s">
        <v>21</v>
      </c>
      <c r="K4" s="2" t="s">
        <v>20</v>
      </c>
      <c r="L4" s="10" t="s">
        <v>25</v>
      </c>
      <c r="N4" s="2" t="s">
        <v>21</v>
      </c>
      <c r="O4" s="2" t="s">
        <v>20</v>
      </c>
      <c r="P4" s="10" t="s">
        <v>25</v>
      </c>
      <c r="R4" s="2" t="s">
        <v>21</v>
      </c>
      <c r="S4" s="2" t="s">
        <v>20</v>
      </c>
      <c r="T4" s="10" t="s">
        <v>25</v>
      </c>
      <c r="V4" s="2" t="s">
        <v>21</v>
      </c>
      <c r="W4" s="2" t="s">
        <v>20</v>
      </c>
      <c r="X4" s="10" t="s">
        <v>25</v>
      </c>
      <c r="Z4" s="2" t="s">
        <v>21</v>
      </c>
      <c r="AA4" s="2" t="s">
        <v>20</v>
      </c>
      <c r="AB4" s="10" t="s">
        <v>25</v>
      </c>
      <c r="AD4" s="2" t="s">
        <v>21</v>
      </c>
      <c r="AE4" s="2" t="s">
        <v>20</v>
      </c>
      <c r="AF4" s="10" t="s">
        <v>25</v>
      </c>
      <c r="AH4" s="2" t="s">
        <v>21</v>
      </c>
      <c r="AI4" s="2" t="s">
        <v>20</v>
      </c>
      <c r="AJ4" s="10" t="s">
        <v>25</v>
      </c>
      <c r="AL4" s="2" t="s">
        <v>21</v>
      </c>
      <c r="AM4" s="2" t="s">
        <v>20</v>
      </c>
      <c r="AN4" s="10" t="s">
        <v>25</v>
      </c>
    </row>
    <row r="5" spans="2:42" x14ac:dyDescent="0.3">
      <c r="B5" s="11">
        <v>2166</v>
      </c>
      <c r="C5" s="13">
        <v>386.67</v>
      </c>
      <c r="D5" s="7" t="s">
        <v>27</v>
      </c>
      <c r="F5" s="11">
        <v>2166</v>
      </c>
      <c r="G5" s="13">
        <v>386.67</v>
      </c>
      <c r="H5" s="7" t="s">
        <v>28</v>
      </c>
      <c r="J5" s="11">
        <v>68672</v>
      </c>
      <c r="K5" s="13">
        <v>169.3</v>
      </c>
      <c r="L5" s="7" t="s">
        <v>29</v>
      </c>
      <c r="N5" s="25">
        <v>67456</v>
      </c>
      <c r="O5" s="30">
        <v>230</v>
      </c>
      <c r="P5" s="8" t="s">
        <v>32</v>
      </c>
      <c r="R5" s="25">
        <v>2282312</v>
      </c>
      <c r="S5" s="30">
        <v>432.68</v>
      </c>
      <c r="T5" s="31" t="s">
        <v>32</v>
      </c>
      <c r="V5" s="25">
        <v>8</v>
      </c>
      <c r="W5" s="30">
        <v>1652.76</v>
      </c>
      <c r="X5" s="8" t="s">
        <v>29</v>
      </c>
      <c r="Z5" s="25">
        <v>30</v>
      </c>
      <c r="AA5" s="30">
        <v>800</v>
      </c>
      <c r="AB5" s="31" t="s">
        <v>29</v>
      </c>
      <c r="AD5" s="25">
        <v>84</v>
      </c>
      <c r="AE5" s="30">
        <v>2333.33</v>
      </c>
      <c r="AF5" s="8" t="s">
        <v>26</v>
      </c>
      <c r="AH5" s="25">
        <v>84</v>
      </c>
      <c r="AI5" s="30">
        <v>2333.3000000000002</v>
      </c>
      <c r="AJ5" s="8" t="s">
        <v>27</v>
      </c>
      <c r="AL5" s="25">
        <v>84</v>
      </c>
      <c r="AM5" s="30">
        <v>2333.34</v>
      </c>
      <c r="AN5" s="31" t="s">
        <v>28</v>
      </c>
    </row>
    <row r="6" spans="2:42" x14ac:dyDescent="0.3">
      <c r="B6" s="11">
        <v>300</v>
      </c>
      <c r="C6" s="13">
        <v>1500</v>
      </c>
      <c r="D6" s="7" t="s">
        <v>29</v>
      </c>
      <c r="E6" s="3"/>
      <c r="F6" s="12">
        <v>362287</v>
      </c>
      <c r="G6" s="14">
        <v>235.3</v>
      </c>
      <c r="H6" s="8" t="s">
        <v>29</v>
      </c>
      <c r="J6" s="11">
        <v>1198796</v>
      </c>
      <c r="K6" s="13">
        <v>107.56</v>
      </c>
      <c r="L6" s="7" t="s">
        <v>29</v>
      </c>
      <c r="N6" s="25">
        <v>2282312</v>
      </c>
      <c r="O6" s="30">
        <v>432.68</v>
      </c>
      <c r="P6" s="8" t="s">
        <v>30</v>
      </c>
      <c r="R6" s="25">
        <v>8834</v>
      </c>
      <c r="S6" s="30">
        <v>449.5</v>
      </c>
      <c r="T6" s="31" t="s">
        <v>32</v>
      </c>
      <c r="V6" s="49">
        <v>1257333</v>
      </c>
      <c r="W6" s="30">
        <v>279.91000000000003</v>
      </c>
      <c r="X6" s="8" t="s">
        <v>29</v>
      </c>
      <c r="Z6" s="49">
        <v>8</v>
      </c>
      <c r="AA6" s="30">
        <v>1652.76</v>
      </c>
      <c r="AB6" s="31" t="s">
        <v>29</v>
      </c>
      <c r="AD6" s="54">
        <v>26677</v>
      </c>
      <c r="AE6" s="43">
        <v>516.4</v>
      </c>
      <c r="AF6" s="8" t="s">
        <v>26</v>
      </c>
      <c r="AH6" s="54">
        <v>26677</v>
      </c>
      <c r="AI6" s="43">
        <v>516.4</v>
      </c>
      <c r="AJ6" s="56" t="s">
        <v>27</v>
      </c>
      <c r="AL6" s="54">
        <v>26677</v>
      </c>
      <c r="AM6" s="43">
        <v>516.58000000000004</v>
      </c>
      <c r="AN6" s="31" t="s">
        <v>28</v>
      </c>
    </row>
    <row r="7" spans="2:42" x14ac:dyDescent="0.3">
      <c r="B7" s="12">
        <v>362583</v>
      </c>
      <c r="C7" s="14">
        <v>234.8</v>
      </c>
      <c r="D7" s="8" t="s">
        <v>29</v>
      </c>
      <c r="H7" s="4"/>
      <c r="J7" s="11">
        <v>620258</v>
      </c>
      <c r="K7" s="13">
        <v>440.28</v>
      </c>
      <c r="L7" s="7" t="s">
        <v>29</v>
      </c>
      <c r="N7" s="25">
        <v>8834</v>
      </c>
      <c r="O7" s="30">
        <v>449.5</v>
      </c>
      <c r="P7" s="8" t="s">
        <v>30</v>
      </c>
      <c r="R7" s="25">
        <v>157</v>
      </c>
      <c r="S7" s="34">
        <v>5500</v>
      </c>
      <c r="T7" s="31" t="s">
        <v>29</v>
      </c>
      <c r="V7" s="25"/>
      <c r="W7" s="30"/>
      <c r="X7" s="31"/>
      <c r="Z7" s="25">
        <v>1257333</v>
      </c>
      <c r="AA7" s="30">
        <v>279.91000000000003</v>
      </c>
      <c r="AB7" s="31" t="s">
        <v>29</v>
      </c>
      <c r="AD7" s="49">
        <v>2353322</v>
      </c>
      <c r="AE7" s="30">
        <v>502.73</v>
      </c>
      <c r="AF7" s="8" t="s">
        <v>29</v>
      </c>
      <c r="AH7" s="25">
        <v>2504226</v>
      </c>
      <c r="AI7" s="30">
        <v>468.7</v>
      </c>
      <c r="AJ7" s="8" t="s">
        <v>29</v>
      </c>
      <c r="AL7" s="25">
        <v>10718</v>
      </c>
      <c r="AM7" s="60">
        <v>700</v>
      </c>
      <c r="AN7" s="31" t="s">
        <v>32</v>
      </c>
    </row>
    <row r="8" spans="2:42" x14ac:dyDescent="0.3">
      <c r="H8" s="4"/>
      <c r="J8" s="11">
        <v>480</v>
      </c>
      <c r="K8" s="13">
        <v>150</v>
      </c>
      <c r="L8" s="7" t="s">
        <v>29</v>
      </c>
      <c r="N8" s="25">
        <v>549</v>
      </c>
      <c r="O8" s="30">
        <v>125</v>
      </c>
      <c r="P8" s="8" t="s">
        <v>29</v>
      </c>
      <c r="R8" s="25">
        <v>44</v>
      </c>
      <c r="S8" s="34">
        <v>8000</v>
      </c>
      <c r="T8" s="31" t="s">
        <v>29</v>
      </c>
      <c r="V8" s="50"/>
      <c r="W8" s="51"/>
      <c r="X8" s="52"/>
      <c r="Z8" s="25">
        <v>30</v>
      </c>
      <c r="AA8" s="30">
        <v>800</v>
      </c>
      <c r="AB8" s="31" t="s">
        <v>29</v>
      </c>
      <c r="AD8" s="59">
        <v>45</v>
      </c>
      <c r="AE8" s="60">
        <v>400</v>
      </c>
      <c r="AF8" s="61" t="s">
        <v>29</v>
      </c>
      <c r="AH8" s="25">
        <v>10718</v>
      </c>
      <c r="AI8" s="60">
        <v>700</v>
      </c>
      <c r="AJ8" s="31" t="s">
        <v>30</v>
      </c>
      <c r="AL8" s="25">
        <v>1186104</v>
      </c>
      <c r="AM8" s="30">
        <v>501.25</v>
      </c>
      <c r="AN8" s="31" t="s">
        <v>32</v>
      </c>
    </row>
    <row r="9" spans="2:42" x14ac:dyDescent="0.3">
      <c r="H9" s="4"/>
      <c r="J9" s="11">
        <v>67456</v>
      </c>
      <c r="K9" s="13">
        <v>230</v>
      </c>
      <c r="L9" s="7" t="s">
        <v>30</v>
      </c>
      <c r="N9" s="25">
        <v>15</v>
      </c>
      <c r="O9" s="30">
        <v>200</v>
      </c>
      <c r="P9" s="8" t="s">
        <v>29</v>
      </c>
      <c r="R9" s="25">
        <v>5</v>
      </c>
      <c r="S9" s="34">
        <v>190</v>
      </c>
      <c r="T9" s="31" t="s">
        <v>29</v>
      </c>
      <c r="V9" s="50"/>
      <c r="W9" s="51"/>
      <c r="X9" s="52"/>
      <c r="Z9" s="59">
        <v>21977</v>
      </c>
      <c r="AA9" s="60">
        <v>38.56</v>
      </c>
      <c r="AB9" s="61" t="s">
        <v>29</v>
      </c>
      <c r="AD9" s="53">
        <v>263109864</v>
      </c>
      <c r="AE9" s="60">
        <v>1200</v>
      </c>
      <c r="AF9" s="61" t="s">
        <v>29</v>
      </c>
      <c r="AH9" s="63">
        <v>1186227</v>
      </c>
      <c r="AI9" s="53">
        <v>430.2</v>
      </c>
      <c r="AJ9" s="31" t="s">
        <v>29</v>
      </c>
      <c r="AL9" s="50"/>
      <c r="AM9" s="51"/>
      <c r="AN9" s="52"/>
    </row>
    <row r="10" spans="2:42" x14ac:dyDescent="0.3">
      <c r="H10" s="4"/>
      <c r="J10" s="11">
        <v>3</v>
      </c>
      <c r="K10" s="13">
        <v>700</v>
      </c>
      <c r="L10" s="7" t="s">
        <v>29</v>
      </c>
      <c r="N10" s="25">
        <v>449</v>
      </c>
      <c r="O10" s="30">
        <v>220</v>
      </c>
      <c r="P10" s="8" t="s">
        <v>29</v>
      </c>
      <c r="R10" s="25">
        <v>69</v>
      </c>
      <c r="S10" s="34">
        <v>84</v>
      </c>
      <c r="T10" s="31" t="s">
        <v>29</v>
      </c>
      <c r="V10" s="50"/>
      <c r="W10" s="51"/>
      <c r="X10" s="52"/>
      <c r="Z10" s="59">
        <v>22587</v>
      </c>
      <c r="AA10" s="60">
        <v>38.56</v>
      </c>
      <c r="AB10" s="31" t="s">
        <v>29</v>
      </c>
      <c r="AD10" s="25">
        <v>6</v>
      </c>
      <c r="AE10" s="60">
        <v>1600</v>
      </c>
      <c r="AF10" s="8" t="s">
        <v>29</v>
      </c>
      <c r="AH10" s="25">
        <v>176</v>
      </c>
      <c r="AI10" s="30">
        <v>139</v>
      </c>
      <c r="AJ10" s="31" t="s">
        <v>29</v>
      </c>
      <c r="AL10" s="50"/>
      <c r="AM10" s="51"/>
      <c r="AN10" s="52"/>
    </row>
    <row r="11" spans="2:42" x14ac:dyDescent="0.3">
      <c r="H11" s="4"/>
      <c r="J11" s="11">
        <v>15</v>
      </c>
      <c r="K11" s="13">
        <v>200</v>
      </c>
      <c r="L11" s="7" t="s">
        <v>29</v>
      </c>
      <c r="N11" s="25">
        <v>448</v>
      </c>
      <c r="O11" s="30">
        <v>350</v>
      </c>
      <c r="P11" s="8" t="s">
        <v>29</v>
      </c>
      <c r="V11" s="50"/>
      <c r="W11" s="51"/>
      <c r="X11" s="52"/>
      <c r="Z11" s="54">
        <v>11521</v>
      </c>
      <c r="AA11" s="62">
        <v>189</v>
      </c>
      <c r="AB11" s="31" t="s">
        <v>29</v>
      </c>
      <c r="AD11" s="54">
        <v>2635</v>
      </c>
      <c r="AE11" s="62">
        <v>150</v>
      </c>
      <c r="AF11" s="8" t="s">
        <v>29</v>
      </c>
      <c r="AH11" s="25">
        <v>1186104</v>
      </c>
      <c r="AI11" s="30">
        <v>501.25</v>
      </c>
      <c r="AJ11" s="31" t="s">
        <v>30</v>
      </c>
      <c r="AL11" s="55"/>
      <c r="AM11" s="55"/>
      <c r="AN11" s="55"/>
    </row>
    <row r="12" spans="2:42" x14ac:dyDescent="0.3">
      <c r="H12" s="4"/>
      <c r="J12" s="11">
        <v>449</v>
      </c>
      <c r="K12" s="13">
        <v>220</v>
      </c>
      <c r="L12" s="7" t="s">
        <v>29</v>
      </c>
      <c r="N12" s="25">
        <v>38733</v>
      </c>
      <c r="O12" s="30">
        <v>214.97</v>
      </c>
      <c r="P12" s="8" t="s">
        <v>29</v>
      </c>
      <c r="V12" s="50"/>
      <c r="W12" s="51"/>
      <c r="X12" s="52"/>
      <c r="Z12" s="25">
        <v>2635</v>
      </c>
      <c r="AA12" s="30">
        <v>150</v>
      </c>
      <c r="AB12" s="31" t="s">
        <v>29</v>
      </c>
      <c r="AD12" s="25">
        <v>176</v>
      </c>
      <c r="AE12" s="62">
        <v>139</v>
      </c>
      <c r="AF12" s="61" t="s">
        <v>29</v>
      </c>
      <c r="AH12" s="53"/>
      <c r="AI12" s="53"/>
      <c r="AJ12" s="53"/>
      <c r="AL12" s="50"/>
      <c r="AM12" s="51"/>
      <c r="AN12" s="52"/>
    </row>
    <row r="13" spans="2:42" x14ac:dyDescent="0.3">
      <c r="H13" s="4"/>
      <c r="J13" s="12">
        <v>448</v>
      </c>
      <c r="K13" s="14">
        <v>350</v>
      </c>
      <c r="L13" s="8" t="s">
        <v>29</v>
      </c>
      <c r="N13" s="25">
        <v>274295</v>
      </c>
      <c r="O13" s="30">
        <v>450.24</v>
      </c>
      <c r="P13" s="8" t="s">
        <v>29</v>
      </c>
      <c r="V13" s="50"/>
      <c r="W13" s="51"/>
      <c r="X13" s="52"/>
      <c r="Z13" s="54">
        <v>2337819</v>
      </c>
      <c r="AA13" s="62">
        <v>342.9</v>
      </c>
      <c r="AB13" s="31" t="s">
        <v>29</v>
      </c>
      <c r="AD13" s="25"/>
      <c r="AE13" s="60"/>
      <c r="AF13" s="8"/>
      <c r="AH13" s="25"/>
      <c r="AI13" s="30"/>
      <c r="AJ13" s="31"/>
      <c r="AL13" s="50"/>
      <c r="AM13" s="51"/>
      <c r="AN13" s="52"/>
    </row>
    <row r="14" spans="2:42" x14ac:dyDescent="0.3">
      <c r="H14" s="4"/>
      <c r="N14" s="25">
        <v>2297397</v>
      </c>
      <c r="O14" s="30">
        <v>416.9</v>
      </c>
      <c r="P14" s="8" t="s">
        <v>29</v>
      </c>
      <c r="V14" s="50"/>
      <c r="W14" s="51"/>
      <c r="X14" s="52"/>
      <c r="Z14" s="25">
        <v>11521</v>
      </c>
      <c r="AA14" s="30">
        <v>189</v>
      </c>
      <c r="AB14" s="31" t="s">
        <v>29</v>
      </c>
      <c r="AD14" s="25"/>
      <c r="AE14" s="60"/>
      <c r="AF14" s="61"/>
      <c r="AH14" s="25"/>
      <c r="AI14" s="30"/>
      <c r="AJ14" s="31"/>
      <c r="AL14" s="50"/>
      <c r="AM14" s="51"/>
      <c r="AN14" s="52"/>
    </row>
    <row r="15" spans="2:42" x14ac:dyDescent="0.3">
      <c r="Z15" s="53">
        <v>273800</v>
      </c>
      <c r="AA15" s="43">
        <v>147.94</v>
      </c>
      <c r="AB15" s="31" t="s">
        <v>29</v>
      </c>
      <c r="AD15" s="53"/>
      <c r="AE15" s="60"/>
      <c r="AF15" s="61"/>
      <c r="AH15" s="25"/>
      <c r="AI15" s="30"/>
      <c r="AJ15" s="31"/>
      <c r="AL15" s="55"/>
      <c r="AM15" s="55"/>
      <c r="AN15" s="55"/>
    </row>
    <row r="16" spans="2:42" x14ac:dyDescent="0.3">
      <c r="C16" s="36" t="s">
        <v>31</v>
      </c>
      <c r="D16" s="37">
        <f>SUM(C5:C7)</f>
        <v>2121.4700000000003</v>
      </c>
      <c r="G16" s="36" t="s">
        <v>31</v>
      </c>
      <c r="H16" s="37">
        <f>SUM(G5:G6)</f>
        <v>621.97</v>
      </c>
      <c r="K16" s="36" t="s">
        <v>31</v>
      </c>
      <c r="L16" s="37">
        <f>SUM(K5:K13)</f>
        <v>2567.14</v>
      </c>
      <c r="O16" s="36" t="s">
        <v>31</v>
      </c>
      <c r="P16" s="37">
        <f>SUM(O5:O14)</f>
        <v>3089.2900000000004</v>
      </c>
      <c r="S16" s="48" t="s">
        <v>31</v>
      </c>
      <c r="T16" s="43">
        <f>SUM(S5:S10)</f>
        <v>14656.18</v>
      </c>
      <c r="W16" s="36" t="s">
        <v>31</v>
      </c>
      <c r="X16" s="37">
        <f>SUM(W5:W14)</f>
        <v>1932.67</v>
      </c>
      <c r="Z16" s="25">
        <v>18</v>
      </c>
      <c r="AA16" s="30">
        <v>520</v>
      </c>
      <c r="AB16" s="31" t="s">
        <v>29</v>
      </c>
      <c r="AE16" s="36" t="s">
        <v>31</v>
      </c>
      <c r="AF16" s="37">
        <f>SUM(AE5:AE14)</f>
        <v>6841.46</v>
      </c>
      <c r="AI16" s="57" t="s">
        <v>31</v>
      </c>
      <c r="AJ16" s="58">
        <f>SUM(AI6:AI15)</f>
        <v>2755.5499999999997</v>
      </c>
      <c r="AM16" s="36" t="s">
        <v>31</v>
      </c>
      <c r="AN16" s="37">
        <f>SUM(AM5:AM14)</f>
        <v>4051.17</v>
      </c>
      <c r="AP16" s="47">
        <f>AN16+AJ16+AF16+AB17+X16+T16+P16+L16+H16+D16</f>
        <v>43785.53</v>
      </c>
    </row>
    <row r="17" spans="8:28" x14ac:dyDescent="0.3">
      <c r="H17" s="4"/>
      <c r="Z17" s="25"/>
      <c r="AA17" s="36" t="s">
        <v>31</v>
      </c>
      <c r="AB17" s="30">
        <f>SUM(AA5:AA16)</f>
        <v>5148.6299999999992</v>
      </c>
    </row>
    <row r="18" spans="8:28" x14ac:dyDescent="0.3">
      <c r="H18" s="4"/>
    </row>
    <row r="19" spans="8:28" x14ac:dyDescent="0.3">
      <c r="H19" s="4"/>
      <c r="P19" s="3"/>
      <c r="Q19" s="5"/>
    </row>
    <row r="20" spans="8:28" x14ac:dyDescent="0.3">
      <c r="H20" s="4"/>
      <c r="P20" s="3"/>
      <c r="Q20" s="5"/>
    </row>
    <row r="21" spans="8:28" x14ac:dyDescent="0.3">
      <c r="H21" s="4"/>
      <c r="P21" s="3"/>
      <c r="Q21" s="5"/>
      <c r="R21" s="4"/>
    </row>
    <row r="22" spans="8:28" x14ac:dyDescent="0.3">
      <c r="H22" s="4"/>
      <c r="P22" s="3"/>
      <c r="Q22" s="5"/>
      <c r="R22" s="4"/>
    </row>
    <row r="23" spans="8:28" x14ac:dyDescent="0.3">
      <c r="H23" s="4"/>
      <c r="P23" s="3"/>
      <c r="Q23" s="5"/>
      <c r="R23" s="4"/>
    </row>
    <row r="24" spans="8:28" x14ac:dyDescent="0.3">
      <c r="H24" s="4"/>
      <c r="P24" s="3"/>
      <c r="Q24" s="5"/>
      <c r="R24" s="4"/>
    </row>
    <row r="25" spans="8:28" x14ac:dyDescent="0.3">
      <c r="H25" s="4"/>
    </row>
    <row r="26" spans="8:28" x14ac:dyDescent="0.3">
      <c r="H26" s="4"/>
    </row>
    <row r="27" spans="8:28" x14ac:dyDescent="0.3">
      <c r="H27" s="4"/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  <ignoredErrors>
    <ignoredError sqref="AJ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4A44-B9D8-451F-8349-F88C060DF371}">
  <dimension ref="B1:AB1048573"/>
  <sheetViews>
    <sheetView topLeftCell="H1" workbookViewId="0">
      <selection activeCell="S9" sqref="S9"/>
    </sheetView>
  </sheetViews>
  <sheetFormatPr defaultRowHeight="14.4" x14ac:dyDescent="0.3"/>
  <cols>
    <col min="2" max="2" width="8" style="3" bestFit="1" customWidth="1"/>
    <col min="3" max="3" width="10.5546875" style="5" bestFit="1" customWidth="1"/>
    <col min="4" max="4" width="10.5546875" style="4" bestFit="1" customWidth="1"/>
    <col min="6" max="6" width="10.109375" style="3" bestFit="1" customWidth="1"/>
    <col min="7" max="7" width="10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  <col min="15" max="16" width="10.5546875" bestFit="1" customWidth="1"/>
    <col min="19" max="20" width="10.5546875" bestFit="1" customWidth="1"/>
    <col min="23" max="24" width="10.5546875" bestFit="1" customWidth="1"/>
    <col min="27" max="27" width="9" customWidth="1"/>
  </cols>
  <sheetData>
    <row r="1" spans="2:28" x14ac:dyDescent="0.3">
      <c r="H1" s="4"/>
    </row>
    <row r="2" spans="2:28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28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  <c r="R3" s="9" t="s">
        <v>57</v>
      </c>
      <c r="S3" s="5"/>
      <c r="T3" s="4"/>
      <c r="V3" s="9" t="s">
        <v>58</v>
      </c>
      <c r="W3" s="5"/>
      <c r="X3" s="4"/>
      <c r="Z3" s="9" t="s">
        <v>58</v>
      </c>
      <c r="AA3" s="5"/>
      <c r="AB3" s="4"/>
    </row>
    <row r="4" spans="2:28" x14ac:dyDescent="0.3">
      <c r="B4" s="2" t="s">
        <v>21</v>
      </c>
      <c r="C4" s="2" t="s">
        <v>20</v>
      </c>
      <c r="D4" s="10" t="s">
        <v>25</v>
      </c>
      <c r="F4" s="2" t="s">
        <v>21</v>
      </c>
      <c r="G4" s="2" t="s">
        <v>20</v>
      </c>
      <c r="H4" s="10" t="s">
        <v>25</v>
      </c>
      <c r="J4" s="2" t="s">
        <v>21</v>
      </c>
      <c r="K4" s="2" t="s">
        <v>20</v>
      </c>
      <c r="L4" s="10" t="s">
        <v>25</v>
      </c>
      <c r="N4" s="2" t="s">
        <v>21</v>
      </c>
      <c r="O4" s="2" t="s">
        <v>20</v>
      </c>
      <c r="P4" s="10" t="s">
        <v>25</v>
      </c>
      <c r="R4" s="2" t="s">
        <v>21</v>
      </c>
      <c r="S4" s="2" t="s">
        <v>20</v>
      </c>
      <c r="T4" s="10" t="s">
        <v>25</v>
      </c>
      <c r="V4" s="2" t="s">
        <v>21</v>
      </c>
      <c r="W4" s="2" t="s">
        <v>20</v>
      </c>
      <c r="X4" s="10" t="s">
        <v>25</v>
      </c>
      <c r="Z4" s="2" t="s">
        <v>21</v>
      </c>
      <c r="AA4" s="2" t="s">
        <v>20</v>
      </c>
      <c r="AB4" s="10" t="s">
        <v>25</v>
      </c>
    </row>
    <row r="5" spans="2:28" x14ac:dyDescent="0.3">
      <c r="B5" s="16">
        <v>1231</v>
      </c>
      <c r="C5" s="17">
        <v>384.88</v>
      </c>
      <c r="D5" s="18" t="s">
        <v>30</v>
      </c>
      <c r="F5" s="16">
        <v>1231</v>
      </c>
      <c r="G5" s="17">
        <v>384.88</v>
      </c>
      <c r="H5" s="18" t="s">
        <v>32</v>
      </c>
      <c r="J5" s="16">
        <v>387449</v>
      </c>
      <c r="K5" s="17">
        <v>1780.01</v>
      </c>
      <c r="L5" s="18" t="s">
        <v>36</v>
      </c>
      <c r="N5" s="25">
        <v>387449</v>
      </c>
      <c r="O5" s="30">
        <v>1780.01</v>
      </c>
      <c r="P5" s="31" t="s">
        <v>49</v>
      </c>
      <c r="R5" s="25">
        <v>387449</v>
      </c>
      <c r="S5" s="30">
        <v>1780.01</v>
      </c>
      <c r="T5" s="31" t="s">
        <v>59</v>
      </c>
      <c r="V5" s="11">
        <v>387449</v>
      </c>
      <c r="W5" s="13">
        <v>1780.01</v>
      </c>
      <c r="X5" s="19" t="s">
        <v>60</v>
      </c>
      <c r="Z5" s="39">
        <v>391671</v>
      </c>
      <c r="AA5" s="30">
        <v>593.755</v>
      </c>
      <c r="AB5" s="35" t="s">
        <v>39</v>
      </c>
    </row>
    <row r="6" spans="2:28" x14ac:dyDescent="0.3">
      <c r="B6" s="11">
        <v>1260</v>
      </c>
      <c r="C6" s="13">
        <v>400</v>
      </c>
      <c r="D6" s="19" t="s">
        <v>29</v>
      </c>
      <c r="E6" s="3"/>
      <c r="F6" s="11">
        <v>387449</v>
      </c>
      <c r="G6" s="13">
        <v>1780.01</v>
      </c>
      <c r="H6" s="19" t="s">
        <v>35</v>
      </c>
      <c r="J6" s="11">
        <v>342</v>
      </c>
      <c r="K6" s="13">
        <v>2072.0500000000002</v>
      </c>
      <c r="L6" s="19" t="s">
        <v>26</v>
      </c>
      <c r="N6" s="25">
        <v>342</v>
      </c>
      <c r="O6" s="30">
        <v>2072.04</v>
      </c>
      <c r="P6" s="31" t="s">
        <v>28</v>
      </c>
      <c r="R6" s="25">
        <v>390418</v>
      </c>
      <c r="S6" s="30">
        <v>799.5</v>
      </c>
      <c r="T6" s="31" t="s">
        <v>38</v>
      </c>
      <c r="V6" s="11">
        <v>390418</v>
      </c>
      <c r="W6" s="13">
        <v>799.5</v>
      </c>
      <c r="X6" s="19" t="s">
        <v>39</v>
      </c>
    </row>
    <row r="7" spans="2:28" x14ac:dyDescent="0.3">
      <c r="B7" s="11">
        <v>2182</v>
      </c>
      <c r="C7" s="13">
        <v>1100</v>
      </c>
      <c r="D7" s="19" t="s">
        <v>29</v>
      </c>
      <c r="F7" s="11">
        <v>2249625</v>
      </c>
      <c r="G7" s="13">
        <v>4613.16</v>
      </c>
      <c r="H7" s="19" t="s">
        <v>29</v>
      </c>
      <c r="J7" s="11">
        <v>342</v>
      </c>
      <c r="K7" s="13">
        <v>2072.0500000000002</v>
      </c>
      <c r="L7" s="19" t="s">
        <v>27</v>
      </c>
      <c r="N7" s="25">
        <v>2277449</v>
      </c>
      <c r="O7" s="30">
        <v>411.51</v>
      </c>
      <c r="P7" s="31" t="s">
        <v>32</v>
      </c>
      <c r="R7" s="39">
        <v>391671</v>
      </c>
      <c r="S7" s="30">
        <v>593.755</v>
      </c>
      <c r="T7" s="31" t="s">
        <v>37</v>
      </c>
      <c r="V7" s="39">
        <v>391671</v>
      </c>
      <c r="W7" s="38">
        <v>593.755</v>
      </c>
      <c r="X7" s="19" t="s">
        <v>38</v>
      </c>
    </row>
    <row r="8" spans="2:28" x14ac:dyDescent="0.3">
      <c r="B8" s="11">
        <v>107</v>
      </c>
      <c r="C8" s="13">
        <v>1000</v>
      </c>
      <c r="D8" s="19" t="s">
        <v>29</v>
      </c>
      <c r="F8" s="11">
        <v>68177</v>
      </c>
      <c r="G8" s="13">
        <v>140.01</v>
      </c>
      <c r="H8" s="19" t="s">
        <v>29</v>
      </c>
      <c r="J8" s="11">
        <v>2277449</v>
      </c>
      <c r="K8" s="13">
        <v>411.5</v>
      </c>
      <c r="L8" s="19" t="s">
        <v>30</v>
      </c>
      <c r="N8" s="25">
        <v>390418</v>
      </c>
      <c r="O8" s="30">
        <v>799.5</v>
      </c>
      <c r="P8" s="31" t="s">
        <v>37</v>
      </c>
      <c r="R8" s="25">
        <v>2295536</v>
      </c>
      <c r="S8" s="30">
        <v>417.58</v>
      </c>
      <c r="T8" s="31" t="s">
        <v>32</v>
      </c>
      <c r="V8" s="11"/>
      <c r="W8" s="13"/>
      <c r="X8" s="19"/>
    </row>
    <row r="9" spans="2:28" x14ac:dyDescent="0.3">
      <c r="B9" s="11">
        <v>387449</v>
      </c>
      <c r="C9" s="13">
        <v>1780.01</v>
      </c>
      <c r="D9" s="19" t="s">
        <v>33</v>
      </c>
      <c r="F9" s="11">
        <v>388910</v>
      </c>
      <c r="G9" s="13">
        <v>699.8</v>
      </c>
      <c r="H9" s="19" t="s">
        <v>29</v>
      </c>
      <c r="J9" s="11">
        <v>390418</v>
      </c>
      <c r="K9" s="13">
        <v>799.5</v>
      </c>
      <c r="L9" s="19" t="s">
        <v>34</v>
      </c>
      <c r="N9" s="25">
        <v>2280945</v>
      </c>
      <c r="O9" s="30">
        <v>456.88</v>
      </c>
      <c r="P9" s="31" t="s">
        <v>32</v>
      </c>
      <c r="R9" s="3"/>
      <c r="S9" s="5"/>
      <c r="T9" s="4"/>
      <c r="V9" s="11"/>
      <c r="W9" s="13"/>
      <c r="X9" s="19"/>
    </row>
    <row r="10" spans="2:28" x14ac:dyDescent="0.3">
      <c r="B10" s="11">
        <v>110</v>
      </c>
      <c r="C10" s="13">
        <v>1000</v>
      </c>
      <c r="D10" s="19" t="s">
        <v>29</v>
      </c>
      <c r="F10" s="11">
        <v>2</v>
      </c>
      <c r="G10" s="13">
        <v>4300</v>
      </c>
      <c r="H10" s="19" t="s">
        <v>29</v>
      </c>
      <c r="J10" s="11">
        <v>2280945</v>
      </c>
      <c r="K10" s="13">
        <v>456.88</v>
      </c>
      <c r="L10" s="19" t="s">
        <v>30</v>
      </c>
      <c r="N10" s="25">
        <v>2280946</v>
      </c>
      <c r="O10" s="30">
        <v>464.72</v>
      </c>
      <c r="P10" s="31" t="s">
        <v>32</v>
      </c>
      <c r="R10" s="3"/>
      <c r="S10" s="5"/>
      <c r="T10" s="4"/>
      <c r="V10" s="11"/>
      <c r="W10" s="13"/>
      <c r="X10" s="19"/>
    </row>
    <row r="11" spans="2:28" x14ac:dyDescent="0.3">
      <c r="B11" s="12">
        <v>143</v>
      </c>
      <c r="C11" s="14">
        <v>3900</v>
      </c>
      <c r="D11" s="20" t="s">
        <v>29</v>
      </c>
      <c r="F11" s="11">
        <v>1146467</v>
      </c>
      <c r="G11" s="13">
        <v>189.9</v>
      </c>
      <c r="H11" s="19" t="s">
        <v>29</v>
      </c>
      <c r="J11" s="11">
        <v>2280946</v>
      </c>
      <c r="K11" s="13">
        <v>464.72</v>
      </c>
      <c r="L11" s="19" t="s">
        <v>30</v>
      </c>
      <c r="N11" s="39">
        <v>391671</v>
      </c>
      <c r="O11" s="30">
        <v>593.755</v>
      </c>
      <c r="P11" s="31" t="s">
        <v>34</v>
      </c>
      <c r="R11" s="3"/>
      <c r="S11" s="5"/>
      <c r="T11" s="4"/>
      <c r="V11" s="3"/>
      <c r="W11" s="5"/>
      <c r="X11" s="4"/>
    </row>
    <row r="12" spans="2:28" x14ac:dyDescent="0.3">
      <c r="F12" s="12">
        <v>188209</v>
      </c>
      <c r="G12" s="14">
        <v>69</v>
      </c>
      <c r="H12" s="20" t="s">
        <v>29</v>
      </c>
      <c r="J12" s="11">
        <v>263021151</v>
      </c>
      <c r="K12" s="13">
        <v>1200</v>
      </c>
      <c r="L12" s="19" t="s">
        <v>29</v>
      </c>
      <c r="N12" s="25">
        <v>2295536</v>
      </c>
      <c r="O12" s="30">
        <v>417.58</v>
      </c>
      <c r="P12" s="31" t="s">
        <v>30</v>
      </c>
    </row>
    <row r="13" spans="2:28" x14ac:dyDescent="0.3">
      <c r="H13" s="4"/>
      <c r="J13" s="11">
        <v>447</v>
      </c>
      <c r="K13" s="13">
        <v>220</v>
      </c>
      <c r="L13" s="19" t="s">
        <v>29</v>
      </c>
      <c r="N13" s="39">
        <v>1159102</v>
      </c>
      <c r="O13" s="30">
        <v>16.75</v>
      </c>
      <c r="P13" s="31" t="s">
        <v>29</v>
      </c>
    </row>
    <row r="14" spans="2:28" x14ac:dyDescent="0.3">
      <c r="H14" s="4"/>
      <c r="J14" s="11">
        <v>446</v>
      </c>
      <c r="K14" s="13">
        <v>1400</v>
      </c>
      <c r="L14" s="19" t="s">
        <v>29</v>
      </c>
      <c r="N14" s="25">
        <v>2427</v>
      </c>
      <c r="O14" s="30">
        <v>180</v>
      </c>
      <c r="P14" s="31" t="s">
        <v>29</v>
      </c>
    </row>
    <row r="15" spans="2:28" x14ac:dyDescent="0.3">
      <c r="J15" s="11">
        <v>719</v>
      </c>
      <c r="K15" s="13">
        <v>690.85</v>
      </c>
      <c r="L15" s="19" t="s">
        <v>29</v>
      </c>
      <c r="N15" s="25"/>
      <c r="O15" s="30"/>
      <c r="P15" s="31"/>
    </row>
    <row r="16" spans="2:28" x14ac:dyDescent="0.3">
      <c r="H16" s="4"/>
      <c r="J16" s="11">
        <v>848</v>
      </c>
      <c r="K16" s="13">
        <v>250</v>
      </c>
      <c r="L16" s="19" t="s">
        <v>29</v>
      </c>
      <c r="N16" s="3"/>
      <c r="O16" s="5"/>
      <c r="P16" s="4"/>
    </row>
    <row r="17" spans="3:24" x14ac:dyDescent="0.3">
      <c r="H17" s="4"/>
      <c r="J17" s="12">
        <v>850</v>
      </c>
      <c r="K17" s="14">
        <v>400</v>
      </c>
      <c r="L17" s="20" t="s">
        <v>29</v>
      </c>
      <c r="N17" s="3"/>
      <c r="O17" s="5"/>
      <c r="P17" s="4"/>
    </row>
    <row r="19" spans="3:24" x14ac:dyDescent="0.3">
      <c r="C19" s="15" t="s">
        <v>31</v>
      </c>
      <c r="D19" s="6">
        <f>SUM(C5:C11)</f>
        <v>9564.89</v>
      </c>
      <c r="G19" s="15" t="s">
        <v>31</v>
      </c>
      <c r="H19" s="6">
        <f>SUM(G5:G12)</f>
        <v>12176.76</v>
      </c>
      <c r="K19" s="15" t="s">
        <v>31</v>
      </c>
      <c r="L19" s="6">
        <f>SUM(K5:K17)</f>
        <v>12217.560000000001</v>
      </c>
      <c r="O19" s="15" t="s">
        <v>31</v>
      </c>
      <c r="P19" s="6">
        <f>SUM(O5:O17)</f>
        <v>7192.7450000000008</v>
      </c>
      <c r="S19" s="15" t="s">
        <v>31</v>
      </c>
      <c r="T19" s="6">
        <f>SUM(S5:S17)</f>
        <v>3590.8450000000003</v>
      </c>
      <c r="W19" s="15" t="s">
        <v>31</v>
      </c>
      <c r="X19" s="6">
        <f>SUM(W5:W17)</f>
        <v>3173.2650000000003</v>
      </c>
    </row>
    <row r="20" spans="3:24" x14ac:dyDescent="0.3">
      <c r="H20" s="4"/>
    </row>
    <row r="21" spans="3:24" x14ac:dyDescent="0.3">
      <c r="H21" s="4"/>
    </row>
    <row r="22" spans="3:24" x14ac:dyDescent="0.3">
      <c r="H22" s="4"/>
    </row>
    <row r="23" spans="3:24" x14ac:dyDescent="0.3">
      <c r="H23" s="4"/>
    </row>
    <row r="24" spans="3:24" x14ac:dyDescent="0.3">
      <c r="H24" s="4"/>
    </row>
    <row r="25" spans="3:24" x14ac:dyDescent="0.3">
      <c r="H25" s="4"/>
    </row>
    <row r="26" spans="3:24" x14ac:dyDescent="0.3">
      <c r="H26" s="4"/>
    </row>
    <row r="27" spans="3:24" x14ac:dyDescent="0.3">
      <c r="H27" s="4"/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1D3D-3472-4363-881D-7804CE3669DB}">
  <dimension ref="B1:AB1048573"/>
  <sheetViews>
    <sheetView topLeftCell="I3" workbookViewId="0">
      <selection activeCell="U18" sqref="U18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6.5546875" style="4" customWidth="1"/>
    <col min="15" max="15" width="10.5546875" bestFit="1" customWidth="1"/>
    <col min="16" max="16" width="11.5546875" bestFit="1" customWidth="1"/>
    <col min="19" max="20" width="10.5546875" bestFit="1" customWidth="1"/>
    <col min="23" max="24" width="10.5546875" bestFit="1" customWidth="1"/>
  </cols>
  <sheetData>
    <row r="1" spans="2:28" x14ac:dyDescent="0.3">
      <c r="H1" s="4"/>
    </row>
    <row r="2" spans="2:28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28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  <c r="R3" s="9" t="s">
        <v>57</v>
      </c>
      <c r="S3" s="5"/>
      <c r="T3" s="4"/>
      <c r="V3" s="9" t="s">
        <v>58</v>
      </c>
      <c r="W3" s="5"/>
      <c r="X3" s="4"/>
      <c r="Z3" s="9" t="s">
        <v>61</v>
      </c>
      <c r="AA3" s="5"/>
      <c r="AB3" s="4"/>
    </row>
    <row r="4" spans="2:28" x14ac:dyDescent="0.3">
      <c r="B4" s="2" t="s">
        <v>21</v>
      </c>
      <c r="C4" s="22" t="s">
        <v>20</v>
      </c>
      <c r="D4" s="2" t="s">
        <v>25</v>
      </c>
      <c r="F4" s="2" t="s">
        <v>21</v>
      </c>
      <c r="G4" s="2" t="s">
        <v>20</v>
      </c>
      <c r="H4" s="10" t="s">
        <v>25</v>
      </c>
      <c r="J4" s="2" t="s">
        <v>21</v>
      </c>
      <c r="K4" s="22" t="s">
        <v>20</v>
      </c>
      <c r="L4" s="2" t="s">
        <v>25</v>
      </c>
      <c r="N4" s="2" t="s">
        <v>21</v>
      </c>
      <c r="O4" s="22" t="s">
        <v>20</v>
      </c>
      <c r="P4" s="2" t="s">
        <v>25</v>
      </c>
      <c r="R4" s="2" t="s">
        <v>21</v>
      </c>
      <c r="S4" s="22" t="s">
        <v>20</v>
      </c>
      <c r="T4" s="2" t="s">
        <v>25</v>
      </c>
      <c r="V4" s="2" t="s">
        <v>21</v>
      </c>
      <c r="W4" s="22" t="s">
        <v>20</v>
      </c>
      <c r="X4" s="2" t="s">
        <v>25</v>
      </c>
      <c r="Z4" s="2" t="s">
        <v>21</v>
      </c>
      <c r="AA4" s="22" t="s">
        <v>20</v>
      </c>
      <c r="AB4" s="2" t="s">
        <v>25</v>
      </c>
    </row>
    <row r="5" spans="2:28" x14ac:dyDescent="0.3">
      <c r="B5" s="16">
        <v>385790</v>
      </c>
      <c r="C5" s="23">
        <v>519.98</v>
      </c>
      <c r="D5" s="18" t="s">
        <v>37</v>
      </c>
      <c r="F5" s="25">
        <v>385790</v>
      </c>
      <c r="G5" s="30">
        <v>519.98</v>
      </c>
      <c r="H5" s="31" t="s">
        <v>38</v>
      </c>
      <c r="J5" s="25">
        <v>385790</v>
      </c>
      <c r="K5" s="30">
        <v>519.98</v>
      </c>
      <c r="L5" s="31" t="s">
        <v>39</v>
      </c>
      <c r="N5" s="25">
        <v>386249</v>
      </c>
      <c r="O5" s="30">
        <v>1780.01</v>
      </c>
      <c r="P5" s="31" t="s">
        <v>49</v>
      </c>
      <c r="R5" s="11">
        <v>386249</v>
      </c>
      <c r="S5" s="21">
        <v>1780.01</v>
      </c>
      <c r="T5" s="19" t="s">
        <v>59</v>
      </c>
      <c r="V5" s="11">
        <v>386249</v>
      </c>
      <c r="W5" s="21">
        <v>1780.01</v>
      </c>
      <c r="X5" s="19" t="s">
        <v>60</v>
      </c>
      <c r="Z5" s="25">
        <v>391674</v>
      </c>
      <c r="AA5" s="37">
        <v>59.47</v>
      </c>
      <c r="AB5" s="31" t="s">
        <v>39</v>
      </c>
    </row>
    <row r="6" spans="2:28" x14ac:dyDescent="0.3">
      <c r="B6" s="11">
        <v>386249</v>
      </c>
      <c r="C6" s="21">
        <v>1780.01</v>
      </c>
      <c r="D6" s="19" t="s">
        <v>33</v>
      </c>
      <c r="E6" s="3"/>
      <c r="F6" s="25">
        <v>386249</v>
      </c>
      <c r="G6" s="30">
        <v>1780.01</v>
      </c>
      <c r="H6" s="31" t="s">
        <v>35</v>
      </c>
      <c r="J6" s="25">
        <v>386249</v>
      </c>
      <c r="K6" s="30">
        <v>1780.01</v>
      </c>
      <c r="L6" s="31" t="s">
        <v>36</v>
      </c>
      <c r="N6" s="25">
        <v>509</v>
      </c>
      <c r="O6" s="30">
        <v>6000</v>
      </c>
      <c r="P6" s="31" t="s">
        <v>32</v>
      </c>
      <c r="R6" s="25">
        <v>23593</v>
      </c>
      <c r="S6" s="37">
        <v>201.03</v>
      </c>
      <c r="T6" s="19" t="s">
        <v>28</v>
      </c>
      <c r="V6" s="25">
        <v>23593</v>
      </c>
      <c r="W6" s="37">
        <v>201.03</v>
      </c>
      <c r="X6" s="20" t="s">
        <v>28</v>
      </c>
    </row>
    <row r="7" spans="2:28" x14ac:dyDescent="0.3">
      <c r="B7" s="12">
        <v>371</v>
      </c>
      <c r="C7" s="24">
        <v>12944.62</v>
      </c>
      <c r="D7" s="20" t="s">
        <v>30</v>
      </c>
      <c r="F7" s="25">
        <v>371</v>
      </c>
      <c r="G7" s="30">
        <v>13000</v>
      </c>
      <c r="H7" s="31" t="s">
        <v>32</v>
      </c>
      <c r="J7" s="25">
        <v>8995</v>
      </c>
      <c r="K7" s="30">
        <v>591.52</v>
      </c>
      <c r="L7" s="31" t="s">
        <v>32</v>
      </c>
      <c r="N7" s="25">
        <v>23593</v>
      </c>
      <c r="O7" s="37">
        <v>201.03</v>
      </c>
      <c r="P7" s="31" t="s">
        <v>27</v>
      </c>
      <c r="R7" s="3">
        <v>189272</v>
      </c>
      <c r="S7" s="5">
        <v>345.09</v>
      </c>
      <c r="T7" s="19" t="s">
        <v>28</v>
      </c>
      <c r="V7" s="25">
        <v>189272</v>
      </c>
      <c r="W7" s="30">
        <v>345.09</v>
      </c>
      <c r="X7" s="31" t="s">
        <v>28</v>
      </c>
    </row>
    <row r="8" spans="2:28" x14ac:dyDescent="0.3">
      <c r="F8" s="25">
        <v>2258364</v>
      </c>
      <c r="G8" s="30">
        <v>677.92</v>
      </c>
      <c r="H8" s="31" t="s">
        <v>29</v>
      </c>
      <c r="J8" s="25">
        <v>3831</v>
      </c>
      <c r="K8" s="30">
        <v>227.4</v>
      </c>
      <c r="L8" s="31" t="s">
        <v>29</v>
      </c>
      <c r="N8" s="25">
        <v>189272</v>
      </c>
      <c r="O8" s="30">
        <v>345.09</v>
      </c>
      <c r="P8" s="31" t="s">
        <v>27</v>
      </c>
      <c r="R8" s="3">
        <v>16206</v>
      </c>
      <c r="S8" s="5">
        <v>380</v>
      </c>
      <c r="T8" s="19" t="s">
        <v>28</v>
      </c>
      <c r="V8" s="25">
        <v>16206</v>
      </c>
      <c r="W8" s="30">
        <v>380</v>
      </c>
      <c r="X8" s="31" t="s">
        <v>28</v>
      </c>
    </row>
    <row r="9" spans="2:28" x14ac:dyDescent="0.3">
      <c r="F9" s="25">
        <v>11170</v>
      </c>
      <c r="G9" s="30">
        <v>240</v>
      </c>
      <c r="H9" s="31" t="s">
        <v>29</v>
      </c>
      <c r="J9" s="25">
        <v>168</v>
      </c>
      <c r="K9" s="30">
        <v>1650</v>
      </c>
      <c r="L9" s="31" t="s">
        <v>29</v>
      </c>
      <c r="N9" s="25">
        <v>16206</v>
      </c>
      <c r="O9" s="30">
        <v>380</v>
      </c>
      <c r="P9" s="31" t="s">
        <v>27</v>
      </c>
      <c r="R9" s="25">
        <v>15923</v>
      </c>
      <c r="S9" s="37">
        <v>380</v>
      </c>
      <c r="T9" s="19" t="s">
        <v>32</v>
      </c>
      <c r="V9" s="25">
        <v>391674</v>
      </c>
      <c r="W9" s="37">
        <v>59.47</v>
      </c>
      <c r="X9" s="31" t="s">
        <v>38</v>
      </c>
    </row>
    <row r="10" spans="2:28" x14ac:dyDescent="0.3">
      <c r="F10" s="25">
        <v>8995</v>
      </c>
      <c r="G10" s="30">
        <v>591.53</v>
      </c>
      <c r="H10" s="31" t="s">
        <v>30</v>
      </c>
      <c r="J10" s="25">
        <v>534</v>
      </c>
      <c r="K10" s="30">
        <v>5400</v>
      </c>
      <c r="L10" s="31" t="s">
        <v>29</v>
      </c>
      <c r="N10" s="25">
        <v>15923</v>
      </c>
      <c r="O10" s="37">
        <v>380</v>
      </c>
      <c r="P10" s="31" t="s">
        <v>30</v>
      </c>
      <c r="R10" s="25">
        <v>22317</v>
      </c>
      <c r="S10" s="30">
        <v>200</v>
      </c>
      <c r="T10" s="19" t="s">
        <v>32</v>
      </c>
      <c r="V10" s="11"/>
      <c r="W10" s="21"/>
      <c r="X10" s="19"/>
    </row>
    <row r="11" spans="2:28" x14ac:dyDescent="0.3">
      <c r="F11" s="25">
        <v>503</v>
      </c>
      <c r="G11" s="30">
        <v>12000</v>
      </c>
      <c r="H11" s="31" t="s">
        <v>29</v>
      </c>
      <c r="J11" s="25">
        <v>14739</v>
      </c>
      <c r="K11" s="30">
        <v>66</v>
      </c>
      <c r="L11" s="31" t="s">
        <v>29</v>
      </c>
      <c r="N11" s="25">
        <v>22317</v>
      </c>
      <c r="O11" s="30">
        <v>200</v>
      </c>
      <c r="P11" s="31" t="s">
        <v>30</v>
      </c>
      <c r="R11" s="41">
        <v>15923</v>
      </c>
      <c r="S11" s="37">
        <v>380</v>
      </c>
      <c r="T11" s="19" t="s">
        <v>32</v>
      </c>
      <c r="V11" s="11"/>
      <c r="W11" s="21"/>
      <c r="X11" s="19"/>
    </row>
    <row r="12" spans="2:28" x14ac:dyDescent="0.3">
      <c r="F12" s="25">
        <v>11196</v>
      </c>
      <c r="G12" s="30">
        <v>260</v>
      </c>
      <c r="H12" s="31" t="s">
        <v>29</v>
      </c>
      <c r="J12" s="25">
        <v>509</v>
      </c>
      <c r="K12" s="30">
        <v>6000</v>
      </c>
      <c r="L12" s="31" t="s">
        <v>30</v>
      </c>
      <c r="N12" s="41">
        <v>33383</v>
      </c>
      <c r="O12" s="37">
        <v>261.66000000000003</v>
      </c>
      <c r="P12" s="31" t="s">
        <v>29</v>
      </c>
      <c r="R12" s="25">
        <v>23593</v>
      </c>
      <c r="S12" s="37">
        <v>201.03</v>
      </c>
      <c r="T12" s="20" t="s">
        <v>27</v>
      </c>
      <c r="V12" s="12"/>
      <c r="W12" s="24"/>
      <c r="X12" s="20"/>
    </row>
    <row r="13" spans="2:28" x14ac:dyDescent="0.3">
      <c r="F13" s="25">
        <v>116</v>
      </c>
      <c r="G13" s="30">
        <v>200</v>
      </c>
      <c r="H13" s="31" t="s">
        <v>29</v>
      </c>
      <c r="J13" s="25">
        <v>6279</v>
      </c>
      <c r="K13" s="37">
        <v>632.5</v>
      </c>
      <c r="L13" s="31" t="s">
        <v>29</v>
      </c>
      <c r="N13" s="41">
        <v>15923</v>
      </c>
      <c r="O13" s="37">
        <v>380</v>
      </c>
      <c r="P13" s="31" t="s">
        <v>30</v>
      </c>
      <c r="R13" s="25">
        <v>189272</v>
      </c>
      <c r="S13" s="30">
        <v>345.09</v>
      </c>
      <c r="T13" s="31" t="s">
        <v>27</v>
      </c>
    </row>
    <row r="14" spans="2:28" x14ac:dyDescent="0.3">
      <c r="F14" s="25">
        <v>527</v>
      </c>
      <c r="G14" s="30">
        <v>5400</v>
      </c>
      <c r="H14" s="31" t="s">
        <v>29</v>
      </c>
      <c r="N14" s="41">
        <v>22317</v>
      </c>
      <c r="O14" s="37">
        <v>400</v>
      </c>
      <c r="P14" s="31" t="s">
        <v>29</v>
      </c>
      <c r="R14" s="25">
        <v>16206</v>
      </c>
      <c r="S14" s="30">
        <v>380</v>
      </c>
      <c r="T14" s="31" t="s">
        <v>27</v>
      </c>
    </row>
    <row r="15" spans="2:28" x14ac:dyDescent="0.3">
      <c r="F15" s="25">
        <v>1198754</v>
      </c>
      <c r="G15" s="30">
        <v>43.05</v>
      </c>
      <c r="H15" s="40">
        <v>46023</v>
      </c>
      <c r="N15" s="25">
        <v>23593</v>
      </c>
      <c r="O15" s="37">
        <v>201.03</v>
      </c>
      <c r="P15" s="31" t="s">
        <v>26</v>
      </c>
      <c r="R15" s="25">
        <v>22317</v>
      </c>
      <c r="S15" s="30">
        <v>200</v>
      </c>
      <c r="T15" s="31" t="s">
        <v>32</v>
      </c>
    </row>
    <row r="16" spans="2:28" x14ac:dyDescent="0.3">
      <c r="H16" s="4"/>
      <c r="K16" s="42" t="s">
        <v>31</v>
      </c>
      <c r="L16" s="37"/>
      <c r="N16" s="25">
        <v>189272</v>
      </c>
      <c r="O16" s="30">
        <v>345.09</v>
      </c>
      <c r="P16" s="31" t="s">
        <v>26</v>
      </c>
      <c r="R16" s="25">
        <v>391674</v>
      </c>
      <c r="S16" s="37">
        <v>59.47</v>
      </c>
      <c r="T16" s="31" t="s">
        <v>37</v>
      </c>
    </row>
    <row r="17" spans="3:24" x14ac:dyDescent="0.3">
      <c r="C17" s="15" t="s">
        <v>31</v>
      </c>
      <c r="D17" s="6">
        <f>SUM(C5:C7)</f>
        <v>15244.61</v>
      </c>
      <c r="G17" s="36" t="s">
        <v>31</v>
      </c>
      <c r="H17" s="37">
        <f>SUM(G5:G15)</f>
        <v>34712.490000000005</v>
      </c>
      <c r="N17" s="25">
        <v>189383</v>
      </c>
      <c r="O17" s="30">
        <v>164</v>
      </c>
      <c r="P17" s="31" t="s">
        <v>29</v>
      </c>
      <c r="W17" s="15" t="s">
        <v>31</v>
      </c>
      <c r="X17" s="6">
        <f>SUM(W5:W12)</f>
        <v>2765.6</v>
      </c>
    </row>
    <row r="18" spans="3:24" x14ac:dyDescent="0.3">
      <c r="N18" s="25">
        <v>1801</v>
      </c>
      <c r="O18" s="30">
        <v>523.53</v>
      </c>
      <c r="P18" s="31" t="s">
        <v>29</v>
      </c>
    </row>
    <row r="19" spans="3:24" x14ac:dyDescent="0.3">
      <c r="H19" s="4"/>
      <c r="N19" s="25">
        <v>108</v>
      </c>
      <c r="O19" s="30">
        <v>650</v>
      </c>
      <c r="P19" s="31" t="s">
        <v>29</v>
      </c>
    </row>
    <row r="20" spans="3:24" x14ac:dyDescent="0.3">
      <c r="H20" s="4"/>
      <c r="N20" s="25">
        <v>31</v>
      </c>
      <c r="O20" s="30">
        <v>780</v>
      </c>
      <c r="P20" s="31" t="s">
        <v>29</v>
      </c>
    </row>
    <row r="21" spans="3:24" x14ac:dyDescent="0.3">
      <c r="H21" s="4"/>
      <c r="N21" s="25">
        <v>124</v>
      </c>
      <c r="O21" s="30">
        <v>4000</v>
      </c>
      <c r="P21" s="31" t="s">
        <v>29</v>
      </c>
    </row>
    <row r="22" spans="3:24" x14ac:dyDescent="0.3">
      <c r="H22" s="4"/>
      <c r="N22" s="25">
        <v>16206</v>
      </c>
      <c r="O22" s="30">
        <v>380</v>
      </c>
      <c r="P22" s="31" t="s">
        <v>26</v>
      </c>
    </row>
    <row r="23" spans="3:24" x14ac:dyDescent="0.3">
      <c r="H23" s="4"/>
      <c r="N23" s="25">
        <v>22317</v>
      </c>
      <c r="O23" s="30">
        <v>200</v>
      </c>
      <c r="P23" s="31" t="s">
        <v>30</v>
      </c>
    </row>
    <row r="24" spans="3:24" x14ac:dyDescent="0.3">
      <c r="H24" s="4"/>
      <c r="N24" s="25">
        <v>391674</v>
      </c>
      <c r="O24" s="37">
        <v>59.47</v>
      </c>
      <c r="P24" s="31" t="s">
        <v>34</v>
      </c>
    </row>
    <row r="25" spans="3:24" x14ac:dyDescent="0.3">
      <c r="H25" s="4"/>
    </row>
    <row r="26" spans="3:24" x14ac:dyDescent="0.3">
      <c r="H26" s="4"/>
      <c r="O26" s="42" t="s">
        <v>31</v>
      </c>
      <c r="P26" s="43">
        <f>SUM(O5:O24)</f>
        <v>17630.910000000003</v>
      </c>
    </row>
    <row r="27" spans="3:24" x14ac:dyDescent="0.3">
      <c r="H27" s="4"/>
      <c r="K27" s="15"/>
      <c r="L27" s="6"/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9FD6-F369-4582-A76E-F7F1C8F3B537}">
  <dimension ref="B1:T1048573"/>
  <sheetViews>
    <sheetView workbookViewId="0">
      <selection activeCell="L13" sqref="L13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20" x14ac:dyDescent="0.3">
      <c r="H1" s="4"/>
    </row>
    <row r="2" spans="2:20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20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  <c r="R3" s="9" t="s">
        <v>40</v>
      </c>
      <c r="S3" s="5"/>
      <c r="T3" s="4"/>
    </row>
    <row r="4" spans="2:20" x14ac:dyDescent="0.3">
      <c r="B4" s="2" t="s">
        <v>21</v>
      </c>
      <c r="C4" s="22" t="s">
        <v>20</v>
      </c>
      <c r="D4" s="2" t="s">
        <v>25</v>
      </c>
      <c r="F4" s="2" t="s">
        <v>21</v>
      </c>
      <c r="G4" s="2" t="s">
        <v>20</v>
      </c>
      <c r="H4" s="10" t="s">
        <v>25</v>
      </c>
      <c r="J4" s="2" t="s">
        <v>21</v>
      </c>
      <c r="K4" s="2" t="s">
        <v>20</v>
      </c>
      <c r="L4" s="10" t="s">
        <v>25</v>
      </c>
      <c r="N4" s="2" t="s">
        <v>21</v>
      </c>
      <c r="O4" s="22" t="s">
        <v>20</v>
      </c>
      <c r="P4" s="2" t="s">
        <v>25</v>
      </c>
      <c r="R4" s="2" t="s">
        <v>21</v>
      </c>
      <c r="S4" s="22" t="s">
        <v>20</v>
      </c>
      <c r="T4" s="2" t="s">
        <v>25</v>
      </c>
    </row>
    <row r="5" spans="2:20" x14ac:dyDescent="0.3">
      <c r="B5" s="16">
        <v>1236</v>
      </c>
      <c r="C5" s="23">
        <v>384.88</v>
      </c>
      <c r="D5" s="18" t="s">
        <v>30</v>
      </c>
      <c r="F5" s="16">
        <v>1236</v>
      </c>
      <c r="G5" s="23">
        <v>384.88</v>
      </c>
      <c r="H5" s="18" t="s">
        <v>32</v>
      </c>
      <c r="J5" s="11">
        <v>2256636</v>
      </c>
      <c r="K5" s="13">
        <v>465.66</v>
      </c>
      <c r="L5" s="7" t="s">
        <v>32</v>
      </c>
      <c r="N5" s="16"/>
      <c r="O5" s="23"/>
      <c r="P5" s="18"/>
    </row>
    <row r="6" spans="2:20" x14ac:dyDescent="0.3">
      <c r="B6" s="12">
        <v>40</v>
      </c>
      <c r="C6" s="24">
        <v>1000</v>
      </c>
      <c r="D6" s="20" t="s">
        <v>29</v>
      </c>
      <c r="E6" s="3"/>
      <c r="F6" s="11">
        <v>67797</v>
      </c>
      <c r="G6" s="13">
        <v>141.44999999999999</v>
      </c>
      <c r="H6" s="7" t="s">
        <v>29</v>
      </c>
      <c r="J6" s="11">
        <v>44575</v>
      </c>
      <c r="K6" s="13">
        <v>104.785</v>
      </c>
      <c r="L6" s="7" t="s">
        <v>37</v>
      </c>
      <c r="N6" s="11"/>
      <c r="O6" s="21"/>
      <c r="P6" s="19"/>
    </row>
    <row r="7" spans="2:20" x14ac:dyDescent="0.3">
      <c r="F7" s="11">
        <v>532</v>
      </c>
      <c r="G7" s="13">
        <v>175</v>
      </c>
      <c r="H7" s="7" t="s">
        <v>29</v>
      </c>
      <c r="J7" s="11">
        <v>389377</v>
      </c>
      <c r="K7" s="13">
        <v>519.89</v>
      </c>
      <c r="L7" s="7" t="s">
        <v>34</v>
      </c>
      <c r="N7" s="11"/>
      <c r="O7" s="21"/>
      <c r="P7" s="19"/>
    </row>
    <row r="8" spans="2:20" x14ac:dyDescent="0.3">
      <c r="F8" s="11">
        <v>186986</v>
      </c>
      <c r="G8" s="13">
        <v>164</v>
      </c>
      <c r="H8" s="7" t="s">
        <v>29</v>
      </c>
      <c r="J8" s="11">
        <v>2268482</v>
      </c>
      <c r="K8" s="13">
        <v>541.20000000000005</v>
      </c>
      <c r="L8" s="7" t="s">
        <v>29</v>
      </c>
      <c r="N8" s="11"/>
      <c r="O8" s="21"/>
      <c r="P8" s="19"/>
    </row>
    <row r="9" spans="2:20" x14ac:dyDescent="0.3">
      <c r="F9" s="11">
        <v>2256636</v>
      </c>
      <c r="G9" s="13">
        <v>465.66</v>
      </c>
      <c r="H9" s="7" t="s">
        <v>30</v>
      </c>
      <c r="J9" s="11">
        <v>25</v>
      </c>
      <c r="K9" s="13">
        <v>500</v>
      </c>
      <c r="L9" s="7" t="s">
        <v>29</v>
      </c>
      <c r="N9" s="11"/>
      <c r="O9" s="21"/>
      <c r="P9" s="19"/>
    </row>
    <row r="10" spans="2:20" x14ac:dyDescent="0.3">
      <c r="F10" s="11">
        <v>44575</v>
      </c>
      <c r="G10" s="13">
        <v>104.785</v>
      </c>
      <c r="H10" s="7" t="s">
        <v>34</v>
      </c>
      <c r="J10" s="11">
        <v>1446</v>
      </c>
      <c r="K10" s="13">
        <v>460</v>
      </c>
      <c r="L10" s="7" t="s">
        <v>29</v>
      </c>
      <c r="N10" s="11"/>
      <c r="O10" s="21"/>
      <c r="P10" s="19"/>
    </row>
    <row r="11" spans="2:20" x14ac:dyDescent="0.3">
      <c r="F11" s="11">
        <v>42</v>
      </c>
      <c r="G11" s="13">
        <v>500</v>
      </c>
      <c r="H11" s="7" t="s">
        <v>29</v>
      </c>
      <c r="J11" s="11">
        <v>776</v>
      </c>
      <c r="K11" s="13">
        <v>1000</v>
      </c>
      <c r="L11" s="7" t="s">
        <v>29</v>
      </c>
      <c r="N11" s="11"/>
      <c r="O11" s="21"/>
      <c r="P11" s="19"/>
    </row>
    <row r="12" spans="2:20" x14ac:dyDescent="0.3">
      <c r="F12" s="11">
        <v>34</v>
      </c>
      <c r="G12" s="13">
        <v>2500</v>
      </c>
      <c r="H12" s="7" t="s">
        <v>29</v>
      </c>
      <c r="J12" s="12">
        <v>450</v>
      </c>
      <c r="K12" s="14">
        <v>220</v>
      </c>
      <c r="L12" s="8" t="s">
        <v>29</v>
      </c>
      <c r="N12" s="12"/>
      <c r="O12" s="24"/>
      <c r="P12" s="20"/>
    </row>
    <row r="13" spans="2:20" x14ac:dyDescent="0.3">
      <c r="F13" s="12">
        <v>1</v>
      </c>
      <c r="G13" s="14">
        <v>8500</v>
      </c>
      <c r="H13" s="8" t="s">
        <v>29</v>
      </c>
      <c r="K13" s="6"/>
    </row>
    <row r="14" spans="2:20" x14ac:dyDescent="0.3">
      <c r="H14" s="4"/>
      <c r="K14" s="6"/>
    </row>
    <row r="15" spans="2:20" x14ac:dyDescent="0.3">
      <c r="C15" s="15" t="s">
        <v>31</v>
      </c>
      <c r="D15" s="6">
        <f>SUM(C5:C6)</f>
        <v>1384.88</v>
      </c>
      <c r="G15" s="15" t="s">
        <v>31</v>
      </c>
      <c r="H15" s="6">
        <f>SUM(G5:G13)</f>
        <v>12935.775</v>
      </c>
      <c r="K15" s="6"/>
    </row>
    <row r="16" spans="2:20" x14ac:dyDescent="0.3">
      <c r="H16" s="4"/>
      <c r="K16" s="6"/>
    </row>
    <row r="17" spans="8:11" x14ac:dyDescent="0.3">
      <c r="K17" s="6"/>
    </row>
    <row r="18" spans="8:11" x14ac:dyDescent="0.3">
      <c r="K18" s="6"/>
    </row>
    <row r="19" spans="8:11" x14ac:dyDescent="0.3">
      <c r="H19" s="4"/>
      <c r="K19" s="6"/>
    </row>
    <row r="20" spans="8:11" x14ac:dyDescent="0.3">
      <c r="H20" s="4"/>
    </row>
    <row r="21" spans="8:11" x14ac:dyDescent="0.3">
      <c r="H21" s="4"/>
    </row>
    <row r="22" spans="8:11" x14ac:dyDescent="0.3">
      <c r="H22" s="4"/>
    </row>
    <row r="23" spans="8:11" x14ac:dyDescent="0.3">
      <c r="H23" s="4"/>
    </row>
    <row r="24" spans="8:11" x14ac:dyDescent="0.3">
      <c r="H24" s="4"/>
    </row>
    <row r="25" spans="8:11" x14ac:dyDescent="0.3">
      <c r="H25" s="4"/>
    </row>
    <row r="26" spans="8:11" x14ac:dyDescent="0.3">
      <c r="H26" s="4"/>
    </row>
    <row r="27" spans="8:11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AC00-7375-45B8-9954-7DA9591280A3}">
  <dimension ref="B1:P1048573"/>
  <sheetViews>
    <sheetView workbookViewId="0">
      <selection activeCell="J12" sqref="J12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10" t="s">
        <v>25</v>
      </c>
      <c r="J4" s="2" t="s">
        <v>21</v>
      </c>
      <c r="K4" s="2" t="s">
        <v>20</v>
      </c>
      <c r="L4" s="10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1235</v>
      </c>
      <c r="C5" s="17">
        <v>384.88</v>
      </c>
      <c r="D5" s="19" t="s">
        <v>30</v>
      </c>
      <c r="F5" s="16">
        <v>1235</v>
      </c>
      <c r="G5" s="23">
        <v>384.88</v>
      </c>
      <c r="H5" s="18" t="s">
        <v>32</v>
      </c>
      <c r="J5" s="11">
        <v>2256713</v>
      </c>
      <c r="K5" s="13">
        <v>617.25</v>
      </c>
      <c r="L5" s="7" t="s">
        <v>32</v>
      </c>
      <c r="N5" s="16"/>
      <c r="O5" s="23"/>
      <c r="P5" s="18"/>
    </row>
    <row r="6" spans="2:16" x14ac:dyDescent="0.3">
      <c r="B6" s="11">
        <v>29</v>
      </c>
      <c r="C6" s="13">
        <v>3000</v>
      </c>
      <c r="D6" s="19" t="s">
        <v>29</v>
      </c>
      <c r="E6" s="3"/>
      <c r="F6" s="11">
        <v>1140056</v>
      </c>
      <c r="G6" s="13">
        <v>306.91000000000003</v>
      </c>
      <c r="H6" s="7" t="s">
        <v>29</v>
      </c>
      <c r="J6" s="11">
        <v>44576</v>
      </c>
      <c r="K6" s="13">
        <v>104.785</v>
      </c>
      <c r="L6" s="7" t="s">
        <v>37</v>
      </c>
      <c r="N6" s="11"/>
      <c r="O6" s="21"/>
      <c r="P6" s="19"/>
    </row>
    <row r="7" spans="2:16" x14ac:dyDescent="0.3">
      <c r="B7" s="12">
        <v>1</v>
      </c>
      <c r="C7" s="14">
        <v>350</v>
      </c>
      <c r="D7" s="20" t="s">
        <v>29</v>
      </c>
      <c r="F7" s="11">
        <v>124292</v>
      </c>
      <c r="G7" s="13">
        <v>239</v>
      </c>
      <c r="H7" s="7" t="s">
        <v>29</v>
      </c>
      <c r="J7" s="11">
        <v>389499</v>
      </c>
      <c r="K7" s="13">
        <v>213.33</v>
      </c>
      <c r="L7" s="7" t="s">
        <v>26</v>
      </c>
      <c r="N7" s="11"/>
      <c r="O7" s="21"/>
      <c r="P7" s="19"/>
    </row>
    <row r="8" spans="2:16" x14ac:dyDescent="0.3">
      <c r="F8" s="11">
        <v>2256713</v>
      </c>
      <c r="G8" s="13">
        <v>617.24</v>
      </c>
      <c r="H8" s="7" t="s">
        <v>30</v>
      </c>
      <c r="J8" s="11">
        <v>1147739</v>
      </c>
      <c r="K8" s="13">
        <v>118.1</v>
      </c>
      <c r="L8" s="7" t="s">
        <v>29</v>
      </c>
      <c r="N8" s="11"/>
      <c r="O8" s="21"/>
      <c r="P8" s="19"/>
    </row>
    <row r="9" spans="2:16" x14ac:dyDescent="0.3">
      <c r="F9" s="11">
        <v>124455</v>
      </c>
      <c r="G9" s="13">
        <v>157.5</v>
      </c>
      <c r="H9" s="7" t="s">
        <v>29</v>
      </c>
      <c r="J9" s="12">
        <v>2315</v>
      </c>
      <c r="K9" s="14">
        <v>141.12</v>
      </c>
      <c r="L9" s="8" t="s">
        <v>29</v>
      </c>
      <c r="N9" s="11"/>
      <c r="O9" s="21"/>
      <c r="P9" s="19"/>
    </row>
    <row r="10" spans="2:16" x14ac:dyDescent="0.3">
      <c r="F10" s="11">
        <v>44576</v>
      </c>
      <c r="G10" s="13">
        <v>104.785</v>
      </c>
      <c r="H10" s="7" t="s">
        <v>34</v>
      </c>
      <c r="N10" s="11"/>
      <c r="O10" s="21"/>
      <c r="P10" s="19"/>
    </row>
    <row r="11" spans="2:16" x14ac:dyDescent="0.3">
      <c r="F11" s="12">
        <v>470</v>
      </c>
      <c r="G11" s="14">
        <v>5500</v>
      </c>
      <c r="H11" s="8" t="s">
        <v>29</v>
      </c>
      <c r="N11" s="11"/>
      <c r="O11" s="21"/>
      <c r="P11" s="19"/>
    </row>
    <row r="12" spans="2:16" x14ac:dyDescent="0.3">
      <c r="H12" s="4"/>
      <c r="N12" s="12"/>
      <c r="O12" s="24"/>
      <c r="P12" s="20"/>
    </row>
    <row r="13" spans="2:16" x14ac:dyDescent="0.3">
      <c r="C13" s="15" t="s">
        <v>31</v>
      </c>
      <c r="D13" s="6">
        <f>SUM(C5:C7)</f>
        <v>3734.88</v>
      </c>
      <c r="G13" s="15" t="s">
        <v>31</v>
      </c>
      <c r="H13" s="6">
        <f>SUM(G5:G11)</f>
        <v>7310.3150000000005</v>
      </c>
      <c r="K13" s="15" t="s">
        <v>31</v>
      </c>
      <c r="L13" s="6">
        <f>SUM(K5:K9)</f>
        <v>1194.585</v>
      </c>
    </row>
    <row r="14" spans="2:16" x14ac:dyDescent="0.3">
      <c r="H14" s="4"/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C6BF-6D89-4A53-B6BA-E4F991DF51E7}">
  <dimension ref="B1:P1048573"/>
  <sheetViews>
    <sheetView workbookViewId="0">
      <selection activeCell="G12" sqref="G12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442</v>
      </c>
      <c r="C5" s="17">
        <v>5000</v>
      </c>
      <c r="D5" s="18" t="s">
        <v>29</v>
      </c>
      <c r="F5" s="16">
        <v>465</v>
      </c>
      <c r="G5" s="17">
        <v>1000</v>
      </c>
      <c r="H5" s="18" t="s">
        <v>29</v>
      </c>
      <c r="J5" s="11">
        <v>6382</v>
      </c>
      <c r="K5" s="13">
        <v>733.33</v>
      </c>
      <c r="L5" s="19" t="s">
        <v>27</v>
      </c>
      <c r="N5" s="16"/>
      <c r="O5" s="23"/>
      <c r="P5" s="18"/>
    </row>
    <row r="6" spans="2:16" x14ac:dyDescent="0.3">
      <c r="B6" s="11">
        <v>453</v>
      </c>
      <c r="C6" s="13">
        <v>4000</v>
      </c>
      <c r="D6" s="19" t="s">
        <v>29</v>
      </c>
      <c r="E6" s="3"/>
      <c r="F6" s="11">
        <v>6382</v>
      </c>
      <c r="G6" s="13">
        <v>733.33</v>
      </c>
      <c r="H6" s="19" t="s">
        <v>26</v>
      </c>
      <c r="J6" s="11">
        <v>1416556</v>
      </c>
      <c r="K6" s="13">
        <v>1262.8800000000001</v>
      </c>
      <c r="L6" s="19" t="s">
        <v>43</v>
      </c>
      <c r="N6" s="11"/>
      <c r="O6" s="21"/>
      <c r="P6" s="19"/>
    </row>
    <row r="7" spans="2:16" ht="28.8" x14ac:dyDescent="0.3">
      <c r="B7" s="11">
        <v>1136749</v>
      </c>
      <c r="C7" s="13">
        <v>299.8</v>
      </c>
      <c r="D7" s="19" t="s">
        <v>29</v>
      </c>
      <c r="F7" s="26" t="s">
        <v>44</v>
      </c>
      <c r="G7" s="13">
        <v>615.65</v>
      </c>
      <c r="H7" s="19" t="s">
        <v>41</v>
      </c>
      <c r="J7" s="11">
        <v>8148</v>
      </c>
      <c r="K7" s="13">
        <v>33.9</v>
      </c>
      <c r="L7" s="19" t="s">
        <v>29</v>
      </c>
      <c r="N7" s="11"/>
      <c r="O7" s="21"/>
      <c r="P7" s="19"/>
    </row>
    <row r="8" spans="2:16" x14ac:dyDescent="0.3">
      <c r="B8" s="12">
        <v>2248236</v>
      </c>
      <c r="C8" s="14">
        <v>686.73</v>
      </c>
      <c r="D8" s="20" t="s">
        <v>29</v>
      </c>
      <c r="F8" s="11">
        <v>1416556</v>
      </c>
      <c r="G8" s="13">
        <v>1262.8800000000001</v>
      </c>
      <c r="H8" s="19" t="s">
        <v>42</v>
      </c>
      <c r="J8" s="11">
        <v>8149</v>
      </c>
      <c r="K8" s="13">
        <v>33.9</v>
      </c>
      <c r="L8" s="19" t="s">
        <v>29</v>
      </c>
      <c r="N8" s="11"/>
      <c r="O8" s="21"/>
      <c r="P8" s="19"/>
    </row>
    <row r="9" spans="2:16" x14ac:dyDescent="0.3">
      <c r="F9" s="11">
        <v>388840</v>
      </c>
      <c r="G9" s="13">
        <v>344</v>
      </c>
      <c r="H9" s="19" t="s">
        <v>29</v>
      </c>
      <c r="J9" s="11">
        <v>8162</v>
      </c>
      <c r="K9" s="13">
        <v>33.9</v>
      </c>
      <c r="L9" s="19" t="s">
        <v>29</v>
      </c>
      <c r="N9" s="11"/>
      <c r="O9" s="21"/>
      <c r="P9" s="19"/>
    </row>
    <row r="10" spans="2:16" x14ac:dyDescent="0.3">
      <c r="F10" s="11">
        <v>117</v>
      </c>
      <c r="G10" s="13">
        <v>400</v>
      </c>
      <c r="H10" s="19" t="s">
        <v>29</v>
      </c>
      <c r="J10" s="11">
        <v>8166</v>
      </c>
      <c r="K10" s="13">
        <v>33.9</v>
      </c>
      <c r="L10" s="19" t="s">
        <v>29</v>
      </c>
      <c r="N10" s="11"/>
      <c r="O10" s="21"/>
      <c r="P10" s="19"/>
    </row>
    <row r="11" spans="2:16" x14ac:dyDescent="0.3">
      <c r="F11" s="12">
        <v>2262419</v>
      </c>
      <c r="G11" s="14">
        <v>856.17</v>
      </c>
      <c r="H11" s="20" t="s">
        <v>29</v>
      </c>
      <c r="J11" s="11">
        <v>188656</v>
      </c>
      <c r="K11" s="13">
        <v>195.1</v>
      </c>
      <c r="L11" s="19" t="s">
        <v>29</v>
      </c>
      <c r="N11" s="11"/>
      <c r="O11" s="21"/>
      <c r="P11" s="19"/>
    </row>
    <row r="12" spans="2:16" x14ac:dyDescent="0.3">
      <c r="H12" s="4"/>
      <c r="J12" s="11">
        <v>1</v>
      </c>
      <c r="K12" s="13">
        <v>350</v>
      </c>
      <c r="L12" s="19" t="s">
        <v>29</v>
      </c>
      <c r="N12" s="12"/>
      <c r="O12" s="24"/>
      <c r="P12" s="20"/>
    </row>
    <row r="13" spans="2:16" x14ac:dyDescent="0.3">
      <c r="H13" s="4"/>
      <c r="J13" s="11">
        <v>2276446</v>
      </c>
      <c r="K13" s="13">
        <v>804.11</v>
      </c>
      <c r="L13" s="19" t="s">
        <v>29</v>
      </c>
    </row>
    <row r="14" spans="2:16" x14ac:dyDescent="0.3">
      <c r="H14" s="4"/>
      <c r="J14" s="11">
        <v>65</v>
      </c>
      <c r="K14" s="13">
        <v>1567.96</v>
      </c>
      <c r="L14" s="19" t="s">
        <v>29</v>
      </c>
    </row>
    <row r="15" spans="2:16" x14ac:dyDescent="0.3">
      <c r="J15" s="12">
        <v>233145</v>
      </c>
      <c r="K15" s="14">
        <v>241.88</v>
      </c>
      <c r="L15" s="20" t="s">
        <v>30</v>
      </c>
    </row>
    <row r="16" spans="2:16" x14ac:dyDescent="0.3">
      <c r="H16" s="4"/>
    </row>
    <row r="17" spans="3:12" x14ac:dyDescent="0.3">
      <c r="C17" s="15" t="s">
        <v>31</v>
      </c>
      <c r="D17" s="6">
        <f>SUM(C5:C8)</f>
        <v>9986.5299999999988</v>
      </c>
      <c r="G17" s="15" t="s">
        <v>31</v>
      </c>
      <c r="H17" s="6">
        <f>SUM(G5:G11)</f>
        <v>5212.0300000000007</v>
      </c>
      <c r="K17" s="15" t="s">
        <v>31</v>
      </c>
      <c r="L17" s="6">
        <f>SUM(K5:K15)</f>
        <v>5290.8600000000006</v>
      </c>
    </row>
    <row r="19" spans="3:12" x14ac:dyDescent="0.3">
      <c r="H19" s="4"/>
    </row>
    <row r="20" spans="3:12" x14ac:dyDescent="0.3">
      <c r="H20" s="4"/>
    </row>
    <row r="21" spans="3:12" x14ac:dyDescent="0.3">
      <c r="H21" s="4"/>
    </row>
    <row r="22" spans="3:12" x14ac:dyDescent="0.3">
      <c r="H22" s="4"/>
    </row>
    <row r="23" spans="3:12" x14ac:dyDescent="0.3">
      <c r="H23" s="4"/>
    </row>
    <row r="24" spans="3:12" x14ac:dyDescent="0.3">
      <c r="H24" s="4"/>
    </row>
    <row r="25" spans="3:12" x14ac:dyDescent="0.3">
      <c r="H25" s="4"/>
    </row>
    <row r="26" spans="3:12" x14ac:dyDescent="0.3">
      <c r="H26" s="4"/>
    </row>
    <row r="27" spans="3:12" x14ac:dyDescent="0.3">
      <c r="H27" s="4"/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985B-7659-48A7-A7C0-E8F7CE92E9EF}">
  <dimension ref="B1:P1048573"/>
  <sheetViews>
    <sheetView workbookViewId="0">
      <selection activeCell="H11" sqref="H11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25">
        <v>283</v>
      </c>
      <c r="C5" s="30">
        <v>1100</v>
      </c>
      <c r="D5" s="31" t="s">
        <v>29</v>
      </c>
      <c r="F5" s="25">
        <v>2261568</v>
      </c>
      <c r="G5" s="30">
        <v>885.69</v>
      </c>
      <c r="H5" s="31" t="s">
        <v>30</v>
      </c>
      <c r="J5" s="16">
        <v>2261568</v>
      </c>
      <c r="K5" s="17">
        <v>885.7</v>
      </c>
      <c r="L5" s="18" t="s">
        <v>32</v>
      </c>
      <c r="N5" s="16"/>
      <c r="O5" s="23"/>
      <c r="P5" s="18"/>
    </row>
    <row r="6" spans="2:16" x14ac:dyDescent="0.3">
      <c r="E6" s="3"/>
      <c r="H6" s="4"/>
      <c r="J6" s="11">
        <v>2274774</v>
      </c>
      <c r="K6" s="13">
        <v>398.66</v>
      </c>
      <c r="L6" s="19" t="s">
        <v>29</v>
      </c>
      <c r="N6" s="11"/>
      <c r="O6" s="21"/>
      <c r="P6" s="19"/>
    </row>
    <row r="7" spans="2:16" x14ac:dyDescent="0.3">
      <c r="F7" s="28"/>
      <c r="H7" s="4"/>
      <c r="J7" s="11">
        <v>451</v>
      </c>
      <c r="K7" s="13">
        <v>220</v>
      </c>
      <c r="L7" s="19" t="s">
        <v>29</v>
      </c>
      <c r="N7" s="11"/>
      <c r="O7" s="21"/>
      <c r="P7" s="19"/>
    </row>
    <row r="8" spans="2:16" x14ac:dyDescent="0.3">
      <c r="H8" s="4"/>
      <c r="J8" s="11">
        <v>2280160</v>
      </c>
      <c r="K8" s="13">
        <v>364.35</v>
      </c>
      <c r="L8" s="19" t="s">
        <v>29</v>
      </c>
      <c r="N8" s="11"/>
      <c r="O8" s="21"/>
      <c r="P8" s="19"/>
    </row>
    <row r="9" spans="2:16" x14ac:dyDescent="0.3">
      <c r="H9" s="4"/>
      <c r="J9" s="12">
        <v>1202965</v>
      </c>
      <c r="K9" s="14">
        <v>172.43</v>
      </c>
      <c r="L9" s="20" t="s">
        <v>29</v>
      </c>
      <c r="N9" s="11"/>
      <c r="O9" s="21"/>
      <c r="P9" s="19"/>
    </row>
    <row r="10" spans="2:16" x14ac:dyDescent="0.3">
      <c r="H10" s="4"/>
      <c r="N10" s="27"/>
      <c r="O10" s="21"/>
      <c r="P10" s="19"/>
    </row>
    <row r="11" spans="2:16" x14ac:dyDescent="0.3">
      <c r="H11" s="4"/>
      <c r="N11" s="27"/>
      <c r="O11" s="21"/>
      <c r="P11" s="19"/>
    </row>
    <row r="12" spans="2:16" x14ac:dyDescent="0.3">
      <c r="H12" s="4"/>
      <c r="N12" s="29"/>
      <c r="O12" s="24"/>
      <c r="P12" s="20"/>
    </row>
    <row r="13" spans="2:16" x14ac:dyDescent="0.3">
      <c r="H13" s="4"/>
    </row>
    <row r="14" spans="2:16" x14ac:dyDescent="0.3">
      <c r="H14" s="4"/>
    </row>
    <row r="16" spans="2:16" x14ac:dyDescent="0.3">
      <c r="H16" s="4"/>
    </row>
    <row r="17" spans="3:12" x14ac:dyDescent="0.3">
      <c r="C17" s="15" t="s">
        <v>31</v>
      </c>
      <c r="D17" s="6">
        <f>SUM(C5:C8)</f>
        <v>1100</v>
      </c>
      <c r="G17" s="15" t="s">
        <v>31</v>
      </c>
      <c r="H17" s="6">
        <f>SUM(G5:G11)</f>
        <v>885.69</v>
      </c>
      <c r="K17" s="15" t="s">
        <v>31</v>
      </c>
      <c r="L17" s="6">
        <f>SUM(K5:K15)</f>
        <v>2041.14</v>
      </c>
    </row>
    <row r="19" spans="3:12" x14ac:dyDescent="0.3">
      <c r="H19" s="4"/>
    </row>
    <row r="20" spans="3:12" x14ac:dyDescent="0.3">
      <c r="H20" s="4"/>
    </row>
    <row r="21" spans="3:12" x14ac:dyDescent="0.3">
      <c r="H21" s="4"/>
    </row>
    <row r="22" spans="3:12" x14ac:dyDescent="0.3">
      <c r="H22" s="4"/>
    </row>
    <row r="23" spans="3:12" x14ac:dyDescent="0.3">
      <c r="H23" s="4"/>
    </row>
    <row r="24" spans="3:12" x14ac:dyDescent="0.3">
      <c r="H24" s="4"/>
    </row>
    <row r="25" spans="3:12" x14ac:dyDescent="0.3">
      <c r="H25" s="4"/>
    </row>
    <row r="26" spans="3:12" x14ac:dyDescent="0.3">
      <c r="H26" s="4"/>
    </row>
    <row r="27" spans="3:12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BA31-B12E-4525-9ED3-365D3BA90971}">
  <dimension ref="B1:P1048573"/>
  <sheetViews>
    <sheetView workbookViewId="0">
      <selection activeCell="J16" sqref="J16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1232</v>
      </c>
      <c r="C5" s="17">
        <v>577.32000000000005</v>
      </c>
      <c r="D5" s="18" t="s">
        <v>30</v>
      </c>
      <c r="F5" s="16">
        <v>1232</v>
      </c>
      <c r="G5" s="17">
        <v>577.32000000000005</v>
      </c>
      <c r="H5" s="18" t="s">
        <v>32</v>
      </c>
      <c r="J5" s="11">
        <v>19477</v>
      </c>
      <c r="K5" s="13">
        <v>421.84</v>
      </c>
      <c r="L5" s="19" t="s">
        <v>28</v>
      </c>
      <c r="N5" s="16"/>
      <c r="O5" s="23"/>
      <c r="P5" s="18"/>
    </row>
    <row r="6" spans="2:16" x14ac:dyDescent="0.3">
      <c r="B6" s="11">
        <v>437</v>
      </c>
      <c r="C6" s="13">
        <v>5000</v>
      </c>
      <c r="D6" s="19" t="s">
        <v>29</v>
      </c>
      <c r="E6" s="3"/>
      <c r="F6" s="11">
        <v>19477</v>
      </c>
      <c r="G6" s="13">
        <v>421.84</v>
      </c>
      <c r="H6" s="19" t="s">
        <v>27</v>
      </c>
      <c r="J6" s="11">
        <v>182</v>
      </c>
      <c r="K6" s="13">
        <v>2750</v>
      </c>
      <c r="L6" s="19" t="s">
        <v>30</v>
      </c>
      <c r="N6" s="11"/>
      <c r="O6" s="21"/>
      <c r="P6" s="19"/>
    </row>
    <row r="7" spans="2:16" x14ac:dyDescent="0.3">
      <c r="B7" s="11">
        <v>19477</v>
      </c>
      <c r="C7" s="13">
        <v>421.84</v>
      </c>
      <c r="D7" s="19" t="s">
        <v>26</v>
      </c>
      <c r="F7" s="11">
        <v>292</v>
      </c>
      <c r="G7" s="13">
        <v>3295.75</v>
      </c>
      <c r="H7" s="19" t="s">
        <v>30</v>
      </c>
      <c r="J7" s="11">
        <v>6668</v>
      </c>
      <c r="K7" s="13">
        <v>230</v>
      </c>
      <c r="L7" s="19" t="s">
        <v>29</v>
      </c>
      <c r="N7" s="11"/>
      <c r="O7" s="21"/>
      <c r="P7" s="19"/>
    </row>
    <row r="8" spans="2:16" x14ac:dyDescent="0.3">
      <c r="B8" s="11">
        <v>292</v>
      </c>
      <c r="C8" s="13">
        <v>3295.75</v>
      </c>
      <c r="D8" s="19" t="s">
        <v>30</v>
      </c>
      <c r="F8" s="11">
        <v>16</v>
      </c>
      <c r="G8" s="13">
        <v>7000</v>
      </c>
      <c r="H8" s="19" t="s">
        <v>29</v>
      </c>
      <c r="J8" s="11">
        <v>34</v>
      </c>
      <c r="K8" s="13">
        <v>1200</v>
      </c>
      <c r="L8" s="19" t="s">
        <v>29</v>
      </c>
      <c r="N8" s="11"/>
      <c r="O8" s="21"/>
      <c r="P8" s="19"/>
    </row>
    <row r="9" spans="2:16" x14ac:dyDescent="0.3">
      <c r="B9" s="12">
        <v>31</v>
      </c>
      <c r="C9" s="14">
        <v>2700</v>
      </c>
      <c r="D9" s="20" t="s">
        <v>29</v>
      </c>
      <c r="F9" s="11">
        <v>21517223</v>
      </c>
      <c r="G9" s="13">
        <v>250</v>
      </c>
      <c r="H9" s="19" t="s">
        <v>29</v>
      </c>
      <c r="J9" s="11">
        <v>389819</v>
      </c>
      <c r="K9" s="13">
        <v>688</v>
      </c>
      <c r="L9" s="19" t="s">
        <v>29</v>
      </c>
      <c r="N9" s="11"/>
      <c r="O9" s="21"/>
      <c r="P9" s="19"/>
    </row>
    <row r="10" spans="2:16" x14ac:dyDescent="0.3">
      <c r="F10" s="11">
        <v>32</v>
      </c>
      <c r="G10" s="13">
        <v>600</v>
      </c>
      <c r="H10" s="19" t="s">
        <v>29</v>
      </c>
      <c r="J10" s="11">
        <v>37</v>
      </c>
      <c r="K10" s="13">
        <v>14</v>
      </c>
      <c r="L10" s="19" t="s">
        <v>29</v>
      </c>
      <c r="N10" s="11"/>
      <c r="O10" s="21"/>
      <c r="P10" s="19"/>
    </row>
    <row r="11" spans="2:16" x14ac:dyDescent="0.3">
      <c r="F11" s="12">
        <v>37045</v>
      </c>
      <c r="G11" s="14">
        <v>187.74</v>
      </c>
      <c r="H11" s="20" t="s">
        <v>29</v>
      </c>
      <c r="J11" s="11">
        <v>620259</v>
      </c>
      <c r="K11" s="13">
        <v>298.24</v>
      </c>
      <c r="L11" s="19" t="s">
        <v>30</v>
      </c>
      <c r="N11" s="11"/>
      <c r="O11" s="21"/>
      <c r="P11" s="19"/>
    </row>
    <row r="12" spans="2:16" x14ac:dyDescent="0.3">
      <c r="H12" s="4"/>
      <c r="J12" s="12">
        <v>6</v>
      </c>
      <c r="K12" s="14">
        <v>700</v>
      </c>
      <c r="L12" s="20" t="s">
        <v>29</v>
      </c>
      <c r="N12" s="12"/>
      <c r="O12" s="24"/>
      <c r="P12" s="20"/>
    </row>
    <row r="13" spans="2:16" x14ac:dyDescent="0.3">
      <c r="H13" s="4"/>
    </row>
    <row r="14" spans="2:16" x14ac:dyDescent="0.3">
      <c r="C14" s="15" t="s">
        <v>31</v>
      </c>
      <c r="D14" s="6">
        <f>SUM(C5:C9)</f>
        <v>11994.91</v>
      </c>
      <c r="G14" s="15" t="s">
        <v>31</v>
      </c>
      <c r="H14" s="6">
        <f>SUM(G5:G11)</f>
        <v>12332.65</v>
      </c>
      <c r="K14" s="15" t="s">
        <v>31</v>
      </c>
      <c r="L14" s="6">
        <f>SUM(K5:K12)</f>
        <v>6302.08</v>
      </c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0F12-C98D-4586-9729-AF89756049B5}">
  <dimension ref="B1:P1048573"/>
  <sheetViews>
    <sheetView workbookViewId="0">
      <selection activeCell="N11" sqref="N11"/>
    </sheetView>
  </sheetViews>
  <sheetFormatPr defaultRowHeight="14.4" x14ac:dyDescent="0.3"/>
  <cols>
    <col min="2" max="2" width="9.5546875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10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1233</v>
      </c>
      <c r="C5" s="17">
        <v>384.88</v>
      </c>
      <c r="D5" s="18" t="s">
        <v>30</v>
      </c>
      <c r="F5" s="16">
        <v>1233</v>
      </c>
      <c r="G5" s="17">
        <v>384.88</v>
      </c>
      <c r="H5" s="18" t="s">
        <v>32</v>
      </c>
      <c r="J5" s="11">
        <v>159243</v>
      </c>
      <c r="K5" s="13">
        <v>178.6</v>
      </c>
      <c r="L5" s="19" t="s">
        <v>27</v>
      </c>
      <c r="N5" s="16"/>
      <c r="O5" s="23"/>
      <c r="P5" s="18"/>
    </row>
    <row r="6" spans="2:16" x14ac:dyDescent="0.3">
      <c r="B6" s="11" t="s">
        <v>45</v>
      </c>
      <c r="C6" s="13">
        <v>1100</v>
      </c>
      <c r="D6" s="19" t="s">
        <v>29</v>
      </c>
      <c r="E6" s="3"/>
      <c r="F6" s="11">
        <v>159243</v>
      </c>
      <c r="G6" s="13">
        <v>178.6</v>
      </c>
      <c r="H6" s="19" t="s">
        <v>26</v>
      </c>
      <c r="J6" s="11">
        <v>6</v>
      </c>
      <c r="K6" s="13">
        <v>1360</v>
      </c>
      <c r="L6" s="19" t="s">
        <v>29</v>
      </c>
      <c r="N6" s="11"/>
      <c r="O6" s="21"/>
      <c r="P6" s="19"/>
    </row>
    <row r="7" spans="2:16" x14ac:dyDescent="0.3">
      <c r="B7" s="11" t="s">
        <v>46</v>
      </c>
      <c r="C7" s="13">
        <v>5247.53</v>
      </c>
      <c r="D7" s="19" t="s">
        <v>29</v>
      </c>
      <c r="F7" s="11">
        <v>1652</v>
      </c>
      <c r="G7" s="13">
        <v>63.96</v>
      </c>
      <c r="H7" s="19" t="s">
        <v>29</v>
      </c>
      <c r="J7" s="11">
        <v>778604</v>
      </c>
      <c r="K7" s="13">
        <v>50</v>
      </c>
      <c r="L7" s="19" t="s">
        <v>29</v>
      </c>
      <c r="N7" s="11"/>
      <c r="O7" s="21"/>
      <c r="P7" s="19"/>
    </row>
    <row r="8" spans="2:16" x14ac:dyDescent="0.3">
      <c r="B8" s="11">
        <v>1954</v>
      </c>
      <c r="C8" s="13">
        <v>100</v>
      </c>
      <c r="D8" s="19" t="s">
        <v>29</v>
      </c>
      <c r="F8" s="11">
        <v>388956</v>
      </c>
      <c r="G8" s="13">
        <v>344</v>
      </c>
      <c r="H8" s="19" t="s">
        <v>29</v>
      </c>
      <c r="J8" s="12">
        <v>778603</v>
      </c>
      <c r="K8" s="14">
        <v>450</v>
      </c>
      <c r="L8" s="20" t="s">
        <v>29</v>
      </c>
      <c r="N8" s="11"/>
      <c r="O8" s="21"/>
      <c r="P8" s="19"/>
    </row>
    <row r="9" spans="2:16" x14ac:dyDescent="0.3">
      <c r="B9" s="11">
        <v>55</v>
      </c>
      <c r="C9" s="13">
        <v>250</v>
      </c>
      <c r="D9" s="19" t="s">
        <v>29</v>
      </c>
      <c r="F9" s="11">
        <v>160997</v>
      </c>
      <c r="G9" s="13">
        <v>24.16</v>
      </c>
      <c r="H9" s="19" t="s">
        <v>29</v>
      </c>
      <c r="N9" s="3"/>
      <c r="O9" s="5"/>
      <c r="P9" s="4"/>
    </row>
    <row r="10" spans="2:16" x14ac:dyDescent="0.3">
      <c r="B10" s="12">
        <v>304</v>
      </c>
      <c r="C10" s="14">
        <v>480</v>
      </c>
      <c r="D10" s="20" t="s">
        <v>29</v>
      </c>
      <c r="F10" s="11">
        <v>1626</v>
      </c>
      <c r="G10" s="13">
        <v>200</v>
      </c>
      <c r="H10" s="19" t="s">
        <v>29</v>
      </c>
      <c r="N10" s="3"/>
      <c r="O10" s="5"/>
      <c r="P10" s="4"/>
    </row>
    <row r="11" spans="2:16" x14ac:dyDescent="0.3">
      <c r="F11" s="12">
        <v>41569</v>
      </c>
      <c r="G11" s="14">
        <v>335</v>
      </c>
      <c r="H11" s="20" t="s">
        <v>29</v>
      </c>
      <c r="N11" s="3"/>
      <c r="O11" s="5"/>
      <c r="P11" s="4"/>
    </row>
    <row r="12" spans="2:16" x14ac:dyDescent="0.3">
      <c r="N12" s="3"/>
      <c r="O12" s="5"/>
      <c r="P12" s="4"/>
    </row>
    <row r="13" spans="2:16" x14ac:dyDescent="0.3">
      <c r="C13" s="15" t="s">
        <v>31</v>
      </c>
      <c r="D13" s="6">
        <f>SUM(C5:C10)</f>
        <v>7562.41</v>
      </c>
      <c r="G13" s="15" t="s">
        <v>31</v>
      </c>
      <c r="H13" s="6">
        <f>SUM(G5:G11)</f>
        <v>1530.6</v>
      </c>
      <c r="K13" s="15" t="s">
        <v>31</v>
      </c>
      <c r="L13" s="6">
        <f>SUM(K5:K8)</f>
        <v>2038.6</v>
      </c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FA9D-D3DD-4F2E-A038-2A02FFAD4D21}">
  <dimension ref="B1:P1048573"/>
  <sheetViews>
    <sheetView workbookViewId="0">
      <selection activeCell="L25" sqref="L25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1147021</v>
      </c>
      <c r="C5" s="17">
        <v>499.71</v>
      </c>
      <c r="D5" s="18" t="s">
        <v>28</v>
      </c>
      <c r="F5" s="11">
        <v>37949</v>
      </c>
      <c r="G5" s="13">
        <v>575.02</v>
      </c>
      <c r="H5" s="19" t="s">
        <v>27</v>
      </c>
      <c r="J5" s="11">
        <v>37949</v>
      </c>
      <c r="K5" s="13">
        <v>575.02</v>
      </c>
      <c r="L5" s="19" t="s">
        <v>28</v>
      </c>
      <c r="N5" s="16"/>
      <c r="O5" s="23"/>
      <c r="P5" s="18"/>
    </row>
    <row r="6" spans="2:16" x14ac:dyDescent="0.3">
      <c r="B6" s="11">
        <v>37949</v>
      </c>
      <c r="C6" s="13">
        <v>575.03</v>
      </c>
      <c r="D6" s="19" t="s">
        <v>26</v>
      </c>
      <c r="E6" s="3"/>
      <c r="F6" s="11">
        <v>221315</v>
      </c>
      <c r="G6" s="13">
        <v>450.17</v>
      </c>
      <c r="H6" s="19" t="s">
        <v>27</v>
      </c>
      <c r="J6" s="11">
        <v>221315</v>
      </c>
      <c r="K6" s="13">
        <v>450.17</v>
      </c>
      <c r="L6" s="19" t="s">
        <v>28</v>
      </c>
      <c r="N6" s="11"/>
      <c r="O6" s="21"/>
      <c r="P6" s="19"/>
    </row>
    <row r="7" spans="2:16" x14ac:dyDescent="0.3">
      <c r="B7" s="11">
        <v>514</v>
      </c>
      <c r="C7" s="13">
        <v>145</v>
      </c>
      <c r="D7" s="19" t="s">
        <v>29</v>
      </c>
      <c r="F7" s="11">
        <v>49</v>
      </c>
      <c r="G7" s="13">
        <v>3820</v>
      </c>
      <c r="H7" s="19" t="s">
        <v>30</v>
      </c>
      <c r="J7" s="11">
        <v>387377</v>
      </c>
      <c r="K7" s="13">
        <v>846.33</v>
      </c>
      <c r="L7" s="19" t="s">
        <v>38</v>
      </c>
      <c r="N7" s="11"/>
      <c r="O7" s="21"/>
      <c r="P7" s="19"/>
    </row>
    <row r="8" spans="2:16" x14ac:dyDescent="0.3">
      <c r="B8" s="11">
        <v>221315</v>
      </c>
      <c r="C8" s="13">
        <v>450.17</v>
      </c>
      <c r="D8" s="19" t="s">
        <v>26</v>
      </c>
      <c r="F8" s="11">
        <v>387377</v>
      </c>
      <c r="G8" s="13">
        <v>846.33</v>
      </c>
      <c r="H8" s="19" t="s">
        <v>37</v>
      </c>
      <c r="J8" s="11">
        <v>388188</v>
      </c>
      <c r="K8" s="13">
        <v>482.3</v>
      </c>
      <c r="L8" s="19" t="s">
        <v>27</v>
      </c>
      <c r="N8" s="11"/>
      <c r="O8" s="21"/>
      <c r="P8" s="19"/>
    </row>
    <row r="9" spans="2:16" x14ac:dyDescent="0.3">
      <c r="B9" s="11">
        <v>521</v>
      </c>
      <c r="C9" s="13">
        <v>100</v>
      </c>
      <c r="D9" s="19" t="s">
        <v>29</v>
      </c>
      <c r="F9" s="11">
        <v>1181584</v>
      </c>
      <c r="G9" s="13">
        <v>127.3</v>
      </c>
      <c r="H9" s="19" t="s">
        <v>29</v>
      </c>
      <c r="J9" s="11">
        <v>2201</v>
      </c>
      <c r="K9" s="13">
        <v>50</v>
      </c>
      <c r="L9" s="19" t="s">
        <v>27</v>
      </c>
      <c r="N9" s="3"/>
      <c r="O9" s="5"/>
      <c r="P9" s="4"/>
    </row>
    <row r="10" spans="2:16" x14ac:dyDescent="0.3">
      <c r="B10" s="11">
        <v>1245188</v>
      </c>
      <c r="C10" s="13">
        <v>366.63</v>
      </c>
      <c r="D10" s="19" t="s">
        <v>29</v>
      </c>
      <c r="F10" s="11">
        <v>38654</v>
      </c>
      <c r="G10" s="13">
        <v>482.94</v>
      </c>
      <c r="H10" s="19" t="s">
        <v>29</v>
      </c>
      <c r="J10" s="11">
        <v>790</v>
      </c>
      <c r="K10" s="13">
        <v>1700</v>
      </c>
      <c r="L10" s="19" t="s">
        <v>27</v>
      </c>
      <c r="N10" s="3"/>
      <c r="O10" s="5"/>
      <c r="P10" s="4"/>
    </row>
    <row r="11" spans="2:16" x14ac:dyDescent="0.3">
      <c r="B11" s="11">
        <v>49</v>
      </c>
      <c r="C11" s="13">
        <v>3000</v>
      </c>
      <c r="D11" s="19" t="s">
        <v>30</v>
      </c>
      <c r="F11" s="11">
        <v>388188</v>
      </c>
      <c r="G11" s="13">
        <v>482.3</v>
      </c>
      <c r="H11" s="19" t="s">
        <v>26</v>
      </c>
      <c r="J11" s="11">
        <v>240448</v>
      </c>
      <c r="K11" s="13">
        <v>111.76</v>
      </c>
      <c r="L11" s="19" t="s">
        <v>29</v>
      </c>
      <c r="N11" s="3"/>
      <c r="O11" s="5"/>
      <c r="P11" s="4"/>
    </row>
    <row r="12" spans="2:16" x14ac:dyDescent="0.3">
      <c r="B12" s="11">
        <v>387377</v>
      </c>
      <c r="C12" s="13">
        <v>846.32</v>
      </c>
      <c r="D12" s="19" t="s">
        <v>34</v>
      </c>
      <c r="F12" s="11">
        <v>7953</v>
      </c>
      <c r="G12" s="13">
        <v>360</v>
      </c>
      <c r="H12" s="19" t="s">
        <v>29</v>
      </c>
      <c r="J12" s="11">
        <v>41674</v>
      </c>
      <c r="K12" s="13">
        <v>1150</v>
      </c>
      <c r="L12" s="19" t="s">
        <v>26</v>
      </c>
      <c r="N12" s="3"/>
      <c r="O12" s="5"/>
      <c r="P12" s="4"/>
    </row>
    <row r="13" spans="2:16" x14ac:dyDescent="0.3">
      <c r="B13" s="12">
        <v>281</v>
      </c>
      <c r="C13" s="14">
        <v>3330</v>
      </c>
      <c r="D13" s="20" t="s">
        <v>29</v>
      </c>
      <c r="F13" s="11">
        <v>3</v>
      </c>
      <c r="G13" s="13">
        <v>3910</v>
      </c>
      <c r="H13" s="19" t="s">
        <v>29</v>
      </c>
      <c r="J13" s="11">
        <v>5196</v>
      </c>
      <c r="K13" s="13">
        <v>140</v>
      </c>
      <c r="L13" s="19" t="s">
        <v>29</v>
      </c>
    </row>
    <row r="14" spans="2:16" x14ac:dyDescent="0.3">
      <c r="F14" s="11">
        <v>2201</v>
      </c>
      <c r="G14" s="13">
        <v>50</v>
      </c>
      <c r="H14" s="19" t="s">
        <v>26</v>
      </c>
      <c r="J14" s="11">
        <v>5182</v>
      </c>
      <c r="K14" s="13">
        <v>1150</v>
      </c>
      <c r="L14" s="19" t="s">
        <v>30</v>
      </c>
    </row>
    <row r="15" spans="2:16" x14ac:dyDescent="0.3">
      <c r="F15" s="11">
        <v>1791</v>
      </c>
      <c r="G15" s="13">
        <v>1400</v>
      </c>
      <c r="H15" s="19" t="s">
        <v>29</v>
      </c>
      <c r="J15" s="11">
        <v>179919</v>
      </c>
      <c r="K15" s="13">
        <v>236.7</v>
      </c>
      <c r="L15" s="19" t="s">
        <v>29</v>
      </c>
    </row>
    <row r="16" spans="2:16" x14ac:dyDescent="0.3">
      <c r="F16" s="11">
        <v>284</v>
      </c>
      <c r="G16" s="13">
        <v>3330</v>
      </c>
      <c r="H16" s="19" t="s">
        <v>29</v>
      </c>
      <c r="J16" s="11">
        <v>495507</v>
      </c>
      <c r="K16" s="13">
        <v>229.32333333333301</v>
      </c>
      <c r="L16" s="19" t="s">
        <v>33</v>
      </c>
    </row>
    <row r="17" spans="3:12" x14ac:dyDescent="0.3">
      <c r="F17" s="12">
        <v>790</v>
      </c>
      <c r="G17" s="14">
        <v>1700</v>
      </c>
      <c r="H17" s="20" t="s">
        <v>26</v>
      </c>
      <c r="J17" s="11">
        <v>3560</v>
      </c>
      <c r="K17" s="13">
        <v>87.343333333333305</v>
      </c>
      <c r="L17" s="19" t="s">
        <v>33</v>
      </c>
    </row>
    <row r="18" spans="3:12" x14ac:dyDescent="0.3">
      <c r="H18" s="4"/>
      <c r="J18" s="11">
        <v>4005</v>
      </c>
      <c r="K18" s="13">
        <v>291.666666666666</v>
      </c>
      <c r="L18" s="19" t="s">
        <v>26</v>
      </c>
    </row>
    <row r="19" spans="3:12" x14ac:dyDescent="0.3">
      <c r="H19" s="4"/>
      <c r="J19" s="11">
        <v>42974</v>
      </c>
      <c r="K19" s="13">
        <v>444.99</v>
      </c>
      <c r="L19" s="19" t="s">
        <v>26</v>
      </c>
    </row>
    <row r="20" spans="3:12" x14ac:dyDescent="0.3">
      <c r="H20" s="4"/>
      <c r="J20" s="11">
        <v>2275112</v>
      </c>
      <c r="K20" s="13">
        <v>689.85</v>
      </c>
      <c r="L20" s="19" t="s">
        <v>29</v>
      </c>
    </row>
    <row r="21" spans="3:12" x14ac:dyDescent="0.3">
      <c r="J21" s="11">
        <v>1199771</v>
      </c>
      <c r="K21" s="13">
        <v>173.57</v>
      </c>
      <c r="L21" s="19" t="s">
        <v>29</v>
      </c>
    </row>
    <row r="22" spans="3:12" x14ac:dyDescent="0.3">
      <c r="H22" s="4"/>
      <c r="J22" s="12">
        <v>105</v>
      </c>
      <c r="K22" s="14">
        <v>1000</v>
      </c>
      <c r="L22" s="20" t="s">
        <v>29</v>
      </c>
    </row>
    <row r="24" spans="3:12" x14ac:dyDescent="0.3">
      <c r="C24" s="15" t="s">
        <v>31</v>
      </c>
      <c r="D24" s="6">
        <f>SUM(C5:C13)</f>
        <v>9312.86</v>
      </c>
      <c r="G24" s="15" t="s">
        <v>31</v>
      </c>
      <c r="H24" s="6">
        <f>SUM(G5:G17)</f>
        <v>17534.060000000001</v>
      </c>
      <c r="K24" s="15" t="s">
        <v>31</v>
      </c>
      <c r="L24" s="6">
        <f>SUM(K5:K22)</f>
        <v>9809.0233333333308</v>
      </c>
    </row>
    <row r="25" spans="3:12" x14ac:dyDescent="0.3">
      <c r="H25" s="4"/>
    </row>
    <row r="26" spans="3:12" x14ac:dyDescent="0.3">
      <c r="H26" s="4"/>
    </row>
    <row r="27" spans="3:12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ADA3-4517-4B63-912D-16C3A4E39338}">
  <dimension ref="B1:P1048573"/>
  <sheetViews>
    <sheetView workbookViewId="0">
      <selection activeCell="L7" sqref="L7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25">
        <v>111</v>
      </c>
      <c r="C5" s="30">
        <v>600</v>
      </c>
      <c r="D5" s="31" t="s">
        <v>29</v>
      </c>
      <c r="F5" s="25">
        <v>114</v>
      </c>
      <c r="G5" s="30">
        <v>5000</v>
      </c>
      <c r="H5" s="31" t="s">
        <v>29</v>
      </c>
      <c r="J5" s="12"/>
      <c r="K5" s="14"/>
      <c r="L5" s="20"/>
      <c r="N5" s="16"/>
      <c r="O5" s="23"/>
      <c r="P5" s="18"/>
    </row>
    <row r="6" spans="2:16" x14ac:dyDescent="0.3">
      <c r="E6" s="3"/>
      <c r="H6" s="4"/>
      <c r="N6" s="11"/>
      <c r="O6" s="21"/>
      <c r="P6" s="19"/>
    </row>
    <row r="7" spans="2:16" x14ac:dyDescent="0.3">
      <c r="C7" s="15" t="s">
        <v>31</v>
      </c>
      <c r="D7" s="6">
        <f>SUM(C5:C6)</f>
        <v>600</v>
      </c>
      <c r="G7" s="15" t="s">
        <v>31</v>
      </c>
      <c r="H7" s="6">
        <f>SUM(G5:G6)</f>
        <v>5000</v>
      </c>
      <c r="K7" s="15" t="s">
        <v>31</v>
      </c>
      <c r="L7" s="6">
        <f>SUM(K5:K6)</f>
        <v>0</v>
      </c>
    </row>
    <row r="8" spans="2:16" x14ac:dyDescent="0.3">
      <c r="H8" s="4"/>
      <c r="N8" s="11"/>
      <c r="O8" s="21"/>
      <c r="P8" s="19"/>
    </row>
    <row r="9" spans="2:16" x14ac:dyDescent="0.3">
      <c r="H9" s="4"/>
      <c r="N9" s="3"/>
      <c r="O9" s="5"/>
      <c r="P9" s="4"/>
    </row>
    <row r="10" spans="2:16" x14ac:dyDescent="0.3">
      <c r="H10" s="4"/>
      <c r="N10" s="3"/>
      <c r="O10" s="5"/>
      <c r="P10" s="4"/>
    </row>
    <row r="11" spans="2:16" x14ac:dyDescent="0.3">
      <c r="H11" s="4"/>
      <c r="N11" s="3"/>
      <c r="O11" s="5"/>
      <c r="P11" s="4"/>
    </row>
    <row r="12" spans="2:16" x14ac:dyDescent="0.3">
      <c r="H12" s="4"/>
      <c r="N12" s="3"/>
      <c r="O12" s="5"/>
      <c r="P12" s="4"/>
    </row>
    <row r="13" spans="2:16" x14ac:dyDescent="0.3">
      <c r="H13" s="4"/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DBCD-9BB3-46C9-B806-A840A7185EE5}">
  <dimension ref="B1:P1048573"/>
  <sheetViews>
    <sheetView workbookViewId="0">
      <selection activeCell="K12" sqref="K12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1234</v>
      </c>
      <c r="C5" s="17">
        <v>384.88</v>
      </c>
      <c r="D5" s="18" t="s">
        <v>30</v>
      </c>
      <c r="F5" s="16">
        <v>1234</v>
      </c>
      <c r="G5" s="17">
        <v>384.88</v>
      </c>
      <c r="H5" s="18" t="s">
        <v>32</v>
      </c>
      <c r="J5" s="11">
        <v>2268062</v>
      </c>
      <c r="K5" s="13">
        <v>800.28</v>
      </c>
      <c r="L5" s="19" t="s">
        <v>29</v>
      </c>
      <c r="N5" s="16"/>
      <c r="O5" s="23"/>
      <c r="P5" s="18"/>
    </row>
    <row r="6" spans="2:16" x14ac:dyDescent="0.3">
      <c r="B6" s="12">
        <v>227603</v>
      </c>
      <c r="C6" s="14">
        <v>339.47</v>
      </c>
      <c r="D6" s="20" t="s">
        <v>29</v>
      </c>
      <c r="E6" s="3"/>
      <c r="F6" s="12">
        <v>404</v>
      </c>
      <c r="G6" s="14">
        <v>1300</v>
      </c>
      <c r="H6" s="20" t="s">
        <v>29</v>
      </c>
      <c r="J6" s="11">
        <v>1381</v>
      </c>
      <c r="K6" s="13">
        <v>220</v>
      </c>
      <c r="L6" s="19" t="s">
        <v>29</v>
      </c>
      <c r="N6" s="11"/>
      <c r="O6" s="21"/>
      <c r="P6" s="19"/>
    </row>
    <row r="7" spans="2:16" x14ac:dyDescent="0.3">
      <c r="H7" s="4"/>
      <c r="J7" s="12">
        <v>827961</v>
      </c>
      <c r="K7" s="14">
        <v>259.8</v>
      </c>
      <c r="L7" s="20" t="s">
        <v>29</v>
      </c>
      <c r="N7" s="11"/>
      <c r="O7" s="21"/>
      <c r="P7" s="19"/>
    </row>
    <row r="8" spans="2:16" x14ac:dyDescent="0.3">
      <c r="H8" s="4"/>
      <c r="N8" s="11"/>
      <c r="O8" s="21"/>
      <c r="P8" s="19"/>
    </row>
    <row r="9" spans="2:16" x14ac:dyDescent="0.3">
      <c r="C9" s="15" t="s">
        <v>31</v>
      </c>
      <c r="D9" s="6">
        <f>SUM(C5:C6)</f>
        <v>724.35</v>
      </c>
      <c r="G9" s="15" t="s">
        <v>31</v>
      </c>
      <c r="H9" s="6">
        <f>SUM(G5:G6)</f>
        <v>1684.88</v>
      </c>
      <c r="K9" s="15" t="s">
        <v>31</v>
      </c>
      <c r="L9" s="6">
        <f>SUM(K5:K7)</f>
        <v>1280.08</v>
      </c>
    </row>
    <row r="10" spans="2:16" x14ac:dyDescent="0.3">
      <c r="H10" s="4"/>
      <c r="N10" s="3"/>
      <c r="O10" s="5"/>
      <c r="P10" s="4"/>
    </row>
    <row r="11" spans="2:16" x14ac:dyDescent="0.3">
      <c r="H11" s="4"/>
      <c r="N11" s="3"/>
      <c r="O11" s="5"/>
      <c r="P11" s="4"/>
    </row>
    <row r="12" spans="2:16" x14ac:dyDescent="0.3">
      <c r="H12" s="4"/>
      <c r="N12" s="3"/>
      <c r="O12" s="5"/>
      <c r="P12" s="4"/>
    </row>
    <row r="13" spans="2:16" x14ac:dyDescent="0.3">
      <c r="H13" s="4"/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1308-6677-449B-8EBF-027DA55296D2}">
  <dimension ref="B1:P1048572"/>
  <sheetViews>
    <sheetView workbookViewId="0">
      <selection activeCell="K16" sqref="K16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153667</v>
      </c>
      <c r="C5" s="17">
        <v>356.63</v>
      </c>
      <c r="D5" s="18" t="s">
        <v>26</v>
      </c>
      <c r="F5" s="16">
        <v>153667</v>
      </c>
      <c r="G5" s="17">
        <v>356.63</v>
      </c>
      <c r="H5" s="18" t="s">
        <v>27</v>
      </c>
      <c r="J5" s="16">
        <v>153667</v>
      </c>
      <c r="K5" s="17">
        <v>356.64</v>
      </c>
      <c r="L5" s="18" t="s">
        <v>28</v>
      </c>
      <c r="N5" s="16"/>
      <c r="O5" s="23"/>
      <c r="P5" s="18"/>
    </row>
    <row r="6" spans="2:16" x14ac:dyDescent="0.3">
      <c r="B6" s="11">
        <v>690</v>
      </c>
      <c r="C6" s="13">
        <v>628</v>
      </c>
      <c r="D6" s="19" t="s">
        <v>29</v>
      </c>
      <c r="E6" s="3"/>
      <c r="F6" s="11">
        <v>30</v>
      </c>
      <c r="G6" s="13">
        <v>500</v>
      </c>
      <c r="H6" s="19" t="s">
        <v>29</v>
      </c>
      <c r="J6" s="11">
        <v>298684</v>
      </c>
      <c r="K6" s="13">
        <v>274.43</v>
      </c>
      <c r="L6" s="19" t="s">
        <v>27</v>
      </c>
      <c r="N6" s="11"/>
      <c r="O6" s="21"/>
      <c r="P6" s="19"/>
    </row>
    <row r="7" spans="2:16" x14ac:dyDescent="0.3">
      <c r="B7" s="11">
        <v>56</v>
      </c>
      <c r="C7" s="13">
        <v>500</v>
      </c>
      <c r="D7" s="19" t="s">
        <v>29</v>
      </c>
      <c r="F7" s="11">
        <v>388957</v>
      </c>
      <c r="G7" s="13">
        <v>699.8</v>
      </c>
      <c r="H7" s="19" t="s">
        <v>29</v>
      </c>
      <c r="J7" s="11">
        <v>160407</v>
      </c>
      <c r="K7" s="13">
        <v>409.76</v>
      </c>
      <c r="L7" s="19" t="s">
        <v>29</v>
      </c>
      <c r="N7" s="11"/>
      <c r="O7" s="21"/>
      <c r="P7" s="19"/>
    </row>
    <row r="8" spans="2:16" x14ac:dyDescent="0.3">
      <c r="B8" s="12">
        <v>305</v>
      </c>
      <c r="C8" s="14">
        <v>310</v>
      </c>
      <c r="D8" s="20" t="s">
        <v>29</v>
      </c>
      <c r="F8" s="11">
        <v>160055</v>
      </c>
      <c r="G8" s="13">
        <v>534.55999999999995</v>
      </c>
      <c r="H8" s="19" t="s">
        <v>29</v>
      </c>
      <c r="J8" s="11">
        <v>161652</v>
      </c>
      <c r="K8" s="13">
        <v>119.8</v>
      </c>
      <c r="L8" s="19" t="s">
        <v>26</v>
      </c>
      <c r="N8" s="11"/>
      <c r="O8" s="21"/>
      <c r="P8" s="19"/>
    </row>
    <row r="9" spans="2:16" x14ac:dyDescent="0.3">
      <c r="F9" s="11">
        <v>298684</v>
      </c>
      <c r="G9" s="13">
        <v>274.43</v>
      </c>
      <c r="H9" s="19" t="s">
        <v>26</v>
      </c>
      <c r="J9" s="11">
        <v>64</v>
      </c>
      <c r="K9" s="13">
        <v>850</v>
      </c>
      <c r="L9" s="19" t="s">
        <v>29</v>
      </c>
      <c r="N9" s="3"/>
      <c r="O9" s="5"/>
      <c r="P9" s="4"/>
    </row>
    <row r="10" spans="2:16" x14ac:dyDescent="0.3">
      <c r="F10" s="12">
        <v>4</v>
      </c>
      <c r="G10" s="14">
        <v>4500</v>
      </c>
      <c r="H10" s="20" t="s">
        <v>29</v>
      </c>
      <c r="J10" s="11">
        <v>69438</v>
      </c>
      <c r="K10" s="13">
        <v>284.995</v>
      </c>
      <c r="L10" s="19" t="s">
        <v>33</v>
      </c>
      <c r="N10" s="3"/>
      <c r="O10" s="5"/>
      <c r="P10" s="4"/>
    </row>
    <row r="11" spans="2:16" x14ac:dyDescent="0.3">
      <c r="J11" s="11">
        <v>5</v>
      </c>
      <c r="K11" s="13">
        <v>2114</v>
      </c>
      <c r="L11" s="19" t="s">
        <v>29</v>
      </c>
      <c r="N11" s="3"/>
      <c r="O11" s="5"/>
      <c r="P11" s="4"/>
    </row>
    <row r="12" spans="2:16" x14ac:dyDescent="0.3">
      <c r="H12" s="4"/>
      <c r="J12" s="12">
        <v>292</v>
      </c>
      <c r="K12" s="14">
        <v>200</v>
      </c>
      <c r="L12" s="20" t="s">
        <v>29</v>
      </c>
      <c r="N12" s="3"/>
      <c r="O12" s="5"/>
      <c r="P12" s="4"/>
    </row>
    <row r="14" spans="2:16" x14ac:dyDescent="0.3">
      <c r="C14" s="15" t="s">
        <v>31</v>
      </c>
      <c r="D14" s="6">
        <f>SUM(C5:C8)</f>
        <v>1794.63</v>
      </c>
      <c r="G14" s="15" t="s">
        <v>31</v>
      </c>
      <c r="H14" s="6">
        <f>SUM(G5:G10)</f>
        <v>6865.42</v>
      </c>
      <c r="K14" s="15" t="s">
        <v>31</v>
      </c>
      <c r="L14" s="6">
        <f>SUM(K5:K12)</f>
        <v>4609.625</v>
      </c>
    </row>
    <row r="15" spans="2:16" x14ac:dyDescent="0.3">
      <c r="H15" s="4"/>
    </row>
    <row r="18" spans="8:8" x14ac:dyDescent="0.3">
      <c r="H18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1048572" spans="8:8" x14ac:dyDescent="0.3">
      <c r="H1048572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1C67-F219-4F81-B01B-E41089AAC0B4}">
  <dimension ref="B1:P1048573"/>
  <sheetViews>
    <sheetView workbookViewId="0">
      <selection activeCell="L14" sqref="L14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25">
        <v>3879</v>
      </c>
      <c r="C5" s="30">
        <v>945</v>
      </c>
      <c r="D5" s="31" t="s">
        <v>29</v>
      </c>
      <c r="F5" s="16">
        <v>576045</v>
      </c>
      <c r="G5" s="17">
        <v>250</v>
      </c>
      <c r="H5" s="18" t="s">
        <v>29</v>
      </c>
      <c r="J5" s="11">
        <v>2269808</v>
      </c>
      <c r="K5" s="13">
        <v>485.08</v>
      </c>
      <c r="L5" s="19" t="s">
        <v>29</v>
      </c>
      <c r="N5" s="16"/>
      <c r="O5" s="23"/>
      <c r="P5" s="18"/>
    </row>
    <row r="6" spans="2:16" x14ac:dyDescent="0.3">
      <c r="E6" s="3"/>
      <c r="F6" s="11">
        <v>3895</v>
      </c>
      <c r="G6" s="13">
        <v>140</v>
      </c>
      <c r="H6" s="19" t="s">
        <v>29</v>
      </c>
      <c r="J6" s="11">
        <v>11236</v>
      </c>
      <c r="K6" s="13">
        <v>395</v>
      </c>
      <c r="L6" s="19" t="s">
        <v>30</v>
      </c>
      <c r="N6" s="11"/>
      <c r="O6" s="21"/>
      <c r="P6" s="19"/>
    </row>
    <row r="7" spans="2:16" x14ac:dyDescent="0.3">
      <c r="F7" s="11">
        <v>2249420</v>
      </c>
      <c r="G7" s="13">
        <v>304.02999999999997</v>
      </c>
      <c r="H7" s="19" t="s">
        <v>29</v>
      </c>
      <c r="J7" s="12">
        <v>31364</v>
      </c>
      <c r="K7" s="14">
        <v>900.52</v>
      </c>
      <c r="L7" s="20" t="s">
        <v>26</v>
      </c>
      <c r="N7" s="11"/>
      <c r="O7" s="21"/>
      <c r="P7" s="19"/>
    </row>
    <row r="8" spans="2:16" x14ac:dyDescent="0.3">
      <c r="F8" s="11">
        <v>125204</v>
      </c>
      <c r="G8" s="13">
        <v>56.8</v>
      </c>
      <c r="H8" s="19" t="s">
        <v>29</v>
      </c>
      <c r="N8" s="27"/>
      <c r="O8" s="21"/>
      <c r="P8" s="19"/>
    </row>
    <row r="9" spans="2:16" x14ac:dyDescent="0.3">
      <c r="F9" s="11">
        <v>93</v>
      </c>
      <c r="G9" s="13">
        <v>2926</v>
      </c>
      <c r="H9" s="19" t="s">
        <v>29</v>
      </c>
      <c r="N9" s="3"/>
      <c r="O9" s="5"/>
      <c r="P9" s="4"/>
    </row>
    <row r="10" spans="2:16" x14ac:dyDescent="0.3">
      <c r="F10" s="11">
        <v>389010</v>
      </c>
      <c r="G10" s="13">
        <v>120</v>
      </c>
      <c r="H10" s="19" t="s">
        <v>29</v>
      </c>
      <c r="N10" s="3"/>
      <c r="O10" s="5"/>
      <c r="P10" s="4"/>
    </row>
    <row r="11" spans="2:16" x14ac:dyDescent="0.3">
      <c r="F11" s="12">
        <v>2261398</v>
      </c>
      <c r="G11" s="14">
        <v>946.99</v>
      </c>
      <c r="H11" s="20" t="s">
        <v>29</v>
      </c>
      <c r="N11" s="3"/>
      <c r="O11" s="5"/>
      <c r="P11" s="4"/>
    </row>
    <row r="12" spans="2:16" x14ac:dyDescent="0.3">
      <c r="H12" s="4"/>
      <c r="N12" s="3"/>
      <c r="O12" s="5"/>
      <c r="P12" s="4"/>
    </row>
    <row r="13" spans="2:16" x14ac:dyDescent="0.3">
      <c r="C13" s="15" t="s">
        <v>31</v>
      </c>
      <c r="D13" s="6">
        <f>SUM(C5:C6)</f>
        <v>945</v>
      </c>
      <c r="G13" s="15" t="s">
        <v>31</v>
      </c>
      <c r="H13" s="6">
        <f>SUM(G5:G11)</f>
        <v>4743.82</v>
      </c>
      <c r="K13" s="15" t="s">
        <v>31</v>
      </c>
      <c r="L13" s="6">
        <f>SUM(K5:K7)</f>
        <v>1780.6</v>
      </c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DBD8-D7CE-4CB7-99CD-C006287A4664}">
  <dimension ref="B1:P1048573"/>
  <sheetViews>
    <sheetView workbookViewId="0">
      <selection activeCell="M11" sqref="M11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  <col min="15" max="15" width="10.5546875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25">
        <v>134592</v>
      </c>
      <c r="C5" s="30">
        <v>1224.1300000000001</v>
      </c>
      <c r="D5" s="31" t="s">
        <v>38</v>
      </c>
      <c r="F5" s="16">
        <v>134592</v>
      </c>
      <c r="G5" s="17">
        <v>1224.1099999999999</v>
      </c>
      <c r="H5" s="18" t="s">
        <v>39</v>
      </c>
      <c r="J5" s="11">
        <v>737</v>
      </c>
      <c r="K5" s="13">
        <v>900</v>
      </c>
      <c r="L5" s="19" t="s">
        <v>26</v>
      </c>
      <c r="N5" s="11">
        <v>737</v>
      </c>
      <c r="O5" s="13">
        <v>1050</v>
      </c>
      <c r="P5" s="19" t="s">
        <v>27</v>
      </c>
    </row>
    <row r="6" spans="2:16" x14ac:dyDescent="0.3">
      <c r="E6" s="3"/>
      <c r="F6" s="11">
        <v>1231</v>
      </c>
      <c r="G6" s="13">
        <v>600</v>
      </c>
      <c r="H6" s="19" t="s">
        <v>29</v>
      </c>
      <c r="J6" s="12">
        <v>19</v>
      </c>
      <c r="K6" s="14">
        <v>270</v>
      </c>
      <c r="L6" s="20" t="s">
        <v>29</v>
      </c>
      <c r="N6" s="11"/>
      <c r="O6" s="21"/>
      <c r="P6" s="19"/>
    </row>
    <row r="7" spans="2:16" x14ac:dyDescent="0.3">
      <c r="F7" s="11">
        <v>388952</v>
      </c>
      <c r="G7" s="13">
        <v>344</v>
      </c>
      <c r="H7" s="19" t="s">
        <v>29</v>
      </c>
      <c r="N7" s="11"/>
      <c r="O7" s="21"/>
      <c r="P7" s="19"/>
    </row>
    <row r="8" spans="2:16" x14ac:dyDescent="0.3">
      <c r="F8" s="12">
        <v>52687</v>
      </c>
      <c r="G8" s="14">
        <v>900</v>
      </c>
      <c r="H8" s="20" t="s">
        <v>29</v>
      </c>
      <c r="N8" s="11"/>
      <c r="O8" s="21"/>
      <c r="P8" s="19"/>
    </row>
    <row r="9" spans="2:16" x14ac:dyDescent="0.3">
      <c r="H9" s="4"/>
      <c r="N9" s="3"/>
      <c r="O9" s="5"/>
      <c r="P9" s="4"/>
    </row>
    <row r="10" spans="2:16" x14ac:dyDescent="0.3">
      <c r="C10" s="15" t="s">
        <v>31</v>
      </c>
      <c r="D10" s="6">
        <f>SUM(C5:C6)</f>
        <v>1224.1300000000001</v>
      </c>
      <c r="G10" s="15" t="s">
        <v>31</v>
      </c>
      <c r="H10" s="6">
        <f>SUM(G5:G8)</f>
        <v>3068.1099999999997</v>
      </c>
      <c r="K10" s="15" t="s">
        <v>31</v>
      </c>
      <c r="L10" s="6">
        <f>SUM(K5:K6)</f>
        <v>1170</v>
      </c>
    </row>
    <row r="11" spans="2:16" x14ac:dyDescent="0.3">
      <c r="H11" s="4"/>
      <c r="N11" s="3"/>
      <c r="O11" s="5"/>
      <c r="P11" s="4"/>
    </row>
    <row r="12" spans="2:16" x14ac:dyDescent="0.3">
      <c r="H12" s="4"/>
      <c r="N12" s="3"/>
      <c r="O12" s="5"/>
      <c r="P12" s="4"/>
    </row>
    <row r="13" spans="2:16" x14ac:dyDescent="0.3">
      <c r="H13" s="4"/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A850-0CDF-4922-A2FA-ABAEF9B7454D}">
  <dimension ref="B1:P1048573"/>
  <sheetViews>
    <sheetView workbookViewId="0">
      <selection activeCell="C12" sqref="C12"/>
    </sheetView>
  </sheetViews>
  <sheetFormatPr defaultRowHeight="14.4" x14ac:dyDescent="0.3"/>
  <cols>
    <col min="2" max="2" width="8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0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10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150980</v>
      </c>
      <c r="C5" s="17">
        <v>2666.63</v>
      </c>
      <c r="D5" s="18" t="s">
        <v>27</v>
      </c>
      <c r="F5" s="16">
        <v>150980</v>
      </c>
      <c r="G5" s="17">
        <v>2666.64</v>
      </c>
      <c r="H5" s="18" t="s">
        <v>28</v>
      </c>
      <c r="J5" s="11">
        <v>159639</v>
      </c>
      <c r="K5" s="13">
        <v>124.95</v>
      </c>
      <c r="L5" s="19" t="s">
        <v>32</v>
      </c>
      <c r="N5" s="16"/>
      <c r="O5" s="23"/>
      <c r="P5" s="18"/>
    </row>
    <row r="6" spans="2:16" x14ac:dyDescent="0.3">
      <c r="B6" s="11">
        <v>1931</v>
      </c>
      <c r="C6" s="13">
        <v>1463</v>
      </c>
      <c r="D6" s="19" t="s">
        <v>29</v>
      </c>
      <c r="E6" s="3"/>
      <c r="F6" s="11">
        <v>54</v>
      </c>
      <c r="G6" s="13">
        <v>800</v>
      </c>
      <c r="H6" s="19" t="s">
        <v>29</v>
      </c>
      <c r="J6" s="12">
        <v>8</v>
      </c>
      <c r="K6" s="14">
        <v>200</v>
      </c>
      <c r="L6" s="20" t="s">
        <v>29</v>
      </c>
      <c r="N6" s="11"/>
      <c r="O6" s="21"/>
      <c r="P6" s="19"/>
    </row>
    <row r="7" spans="2:16" x14ac:dyDescent="0.3">
      <c r="B7" s="12">
        <v>303</v>
      </c>
      <c r="C7" s="14">
        <v>420</v>
      </c>
      <c r="D7" s="20" t="s">
        <v>29</v>
      </c>
      <c r="F7" s="11">
        <v>93686</v>
      </c>
      <c r="G7" s="13">
        <v>262.85000000000002</v>
      </c>
      <c r="H7" s="19" t="s">
        <v>29</v>
      </c>
      <c r="N7" s="11"/>
      <c r="O7" s="21"/>
      <c r="P7" s="19"/>
    </row>
    <row r="8" spans="2:16" x14ac:dyDescent="0.3">
      <c r="F8" s="12">
        <v>159639</v>
      </c>
      <c r="G8" s="14">
        <v>124.99</v>
      </c>
      <c r="H8" s="20" t="s">
        <v>30</v>
      </c>
      <c r="N8" s="11"/>
      <c r="O8" s="21"/>
      <c r="P8" s="19"/>
    </row>
    <row r="9" spans="2:16" x14ac:dyDescent="0.3">
      <c r="H9" s="4"/>
      <c r="N9" s="3"/>
      <c r="O9" s="5"/>
      <c r="P9" s="4"/>
    </row>
    <row r="10" spans="2:16" x14ac:dyDescent="0.3">
      <c r="C10" s="15" t="s">
        <v>31</v>
      </c>
      <c r="D10" s="6">
        <f>SUM(C5:C7)</f>
        <v>4549.63</v>
      </c>
      <c r="G10" s="15" t="s">
        <v>31</v>
      </c>
      <c r="H10" s="6">
        <f>SUM(G5:G8)</f>
        <v>3854.4799999999996</v>
      </c>
      <c r="K10" s="15" t="s">
        <v>31</v>
      </c>
      <c r="L10" s="6">
        <f>SUM(K5:K6)</f>
        <v>324.95</v>
      </c>
    </row>
    <row r="11" spans="2:16" x14ac:dyDescent="0.3">
      <c r="H11" s="4"/>
      <c r="N11" s="3"/>
      <c r="O11" s="5"/>
      <c r="P11" s="4"/>
    </row>
    <row r="12" spans="2:16" x14ac:dyDescent="0.3">
      <c r="H12" s="4"/>
      <c r="N12" s="3"/>
      <c r="O12" s="5"/>
      <c r="P12" s="4"/>
    </row>
    <row r="13" spans="2:16" x14ac:dyDescent="0.3">
      <c r="H13" s="4"/>
    </row>
    <row r="16" spans="2:16" x14ac:dyDescent="0.3">
      <c r="H16" s="4"/>
    </row>
    <row r="19" spans="8:8" x14ac:dyDescent="0.3">
      <c r="H19" s="4"/>
    </row>
    <row r="20" spans="8:8" x14ac:dyDescent="0.3">
      <c r="H20" s="4"/>
    </row>
    <row r="21" spans="8:8" x14ac:dyDescent="0.3">
      <c r="H21" s="4"/>
    </row>
    <row r="22" spans="8:8" x14ac:dyDescent="0.3">
      <c r="H22" s="4"/>
    </row>
    <row r="23" spans="8:8" x14ac:dyDescent="0.3">
      <c r="H23" s="4"/>
    </row>
    <row r="24" spans="8:8" x14ac:dyDescent="0.3">
      <c r="H24" s="4"/>
    </row>
    <row r="25" spans="8:8" x14ac:dyDescent="0.3">
      <c r="H25" s="4"/>
    </row>
    <row r="26" spans="8:8" x14ac:dyDescent="0.3">
      <c r="H26" s="4"/>
    </row>
    <row r="27" spans="8:8" x14ac:dyDescent="0.3">
      <c r="H27" s="4"/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3EF-DCD1-4291-805F-F53E6FCEEBA9}">
  <dimension ref="B1:P1048573"/>
  <sheetViews>
    <sheetView workbookViewId="0">
      <selection activeCell="N19" sqref="N19"/>
    </sheetView>
  </sheetViews>
  <sheetFormatPr defaultRowHeight="14.4" x14ac:dyDescent="0.3"/>
  <cols>
    <col min="2" max="2" width="10" style="3" bestFit="1" customWidth="1"/>
    <col min="3" max="3" width="11.5546875" style="5" bestFit="1" customWidth="1"/>
    <col min="4" max="4" width="11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1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737</v>
      </c>
      <c r="C5" s="17">
        <v>8846.9</v>
      </c>
      <c r="D5" s="18" t="s">
        <v>28</v>
      </c>
      <c r="F5" s="11">
        <v>663</v>
      </c>
      <c r="G5" s="13">
        <v>1326.99</v>
      </c>
      <c r="H5" s="19" t="s">
        <v>39</v>
      </c>
      <c r="J5" s="11">
        <v>153097</v>
      </c>
      <c r="K5" s="13">
        <v>533.89</v>
      </c>
      <c r="L5" s="19" t="s">
        <v>28</v>
      </c>
      <c r="N5" s="16"/>
      <c r="O5" s="23"/>
      <c r="P5" s="18"/>
    </row>
    <row r="6" spans="2:16" x14ac:dyDescent="0.3">
      <c r="B6" s="11">
        <v>146678</v>
      </c>
      <c r="C6" s="13">
        <v>2372.4699999999998</v>
      </c>
      <c r="D6" s="19" t="s">
        <v>28</v>
      </c>
      <c r="E6" s="3"/>
      <c r="F6" s="11">
        <v>148922</v>
      </c>
      <c r="G6" s="13">
        <v>966.64</v>
      </c>
      <c r="H6" s="19" t="s">
        <v>28</v>
      </c>
      <c r="J6" s="11">
        <v>696</v>
      </c>
      <c r="K6" s="13">
        <v>1533.4</v>
      </c>
      <c r="L6" s="19" t="s">
        <v>28</v>
      </c>
      <c r="N6" s="11"/>
      <c r="O6" s="21"/>
      <c r="P6" s="19"/>
    </row>
    <row r="7" spans="2:16" x14ac:dyDescent="0.3">
      <c r="B7" s="11">
        <v>663</v>
      </c>
      <c r="C7" s="13">
        <v>1326.9</v>
      </c>
      <c r="D7" s="19" t="s">
        <v>38</v>
      </c>
      <c r="F7" s="11">
        <v>153097</v>
      </c>
      <c r="G7" s="13">
        <v>533.88</v>
      </c>
      <c r="H7" s="19" t="s">
        <v>27</v>
      </c>
      <c r="J7" s="11">
        <v>697</v>
      </c>
      <c r="K7" s="13">
        <v>3333.4</v>
      </c>
      <c r="L7" s="19" t="s">
        <v>28</v>
      </c>
      <c r="N7" s="11"/>
      <c r="O7" s="21"/>
      <c r="P7" s="19"/>
    </row>
    <row r="8" spans="2:16" x14ac:dyDescent="0.3">
      <c r="B8" s="11">
        <v>147647</v>
      </c>
      <c r="C8" s="13">
        <v>543.29999999999995</v>
      </c>
      <c r="D8" s="19" t="s">
        <v>28</v>
      </c>
      <c r="F8" s="11">
        <v>696</v>
      </c>
      <c r="G8" s="13">
        <v>1533.3</v>
      </c>
      <c r="H8" s="19" t="s">
        <v>27</v>
      </c>
      <c r="J8" s="11">
        <v>698</v>
      </c>
      <c r="K8" s="13">
        <v>1666.8</v>
      </c>
      <c r="L8" s="19" t="s">
        <v>28</v>
      </c>
      <c r="N8" s="11"/>
      <c r="O8" s="21"/>
      <c r="P8" s="19"/>
    </row>
    <row r="9" spans="2:16" x14ac:dyDescent="0.3">
      <c r="B9" s="11">
        <v>148922</v>
      </c>
      <c r="C9" s="13">
        <v>966.63</v>
      </c>
      <c r="D9" s="19" t="s">
        <v>27</v>
      </c>
      <c r="F9" s="11">
        <v>697</v>
      </c>
      <c r="G9" s="13">
        <v>3333.3</v>
      </c>
      <c r="H9" s="19" t="s">
        <v>27</v>
      </c>
      <c r="J9" s="11">
        <v>800084</v>
      </c>
      <c r="K9" s="13">
        <v>608.6</v>
      </c>
      <c r="L9" s="19" t="s">
        <v>28</v>
      </c>
      <c r="N9" s="3"/>
      <c r="O9" s="5"/>
      <c r="P9" s="4"/>
    </row>
    <row r="10" spans="2:16" x14ac:dyDescent="0.3">
      <c r="B10" s="11">
        <v>1613</v>
      </c>
      <c r="C10" s="13">
        <v>3376</v>
      </c>
      <c r="D10" s="19" t="s">
        <v>29</v>
      </c>
      <c r="F10" s="11">
        <v>698</v>
      </c>
      <c r="G10" s="13">
        <v>1666.6</v>
      </c>
      <c r="H10" s="19" t="s">
        <v>27</v>
      </c>
      <c r="J10" s="11">
        <v>386143</v>
      </c>
      <c r="K10" s="13">
        <v>1363.6</v>
      </c>
      <c r="L10" s="19" t="s">
        <v>36</v>
      </c>
      <c r="N10" s="3"/>
      <c r="O10" s="5"/>
      <c r="P10" s="4"/>
    </row>
    <row r="11" spans="2:16" x14ac:dyDescent="0.3">
      <c r="B11" s="11">
        <v>153097</v>
      </c>
      <c r="C11" s="13">
        <v>533.88</v>
      </c>
      <c r="D11" s="19" t="s">
        <v>26</v>
      </c>
      <c r="F11" s="11">
        <v>800084</v>
      </c>
      <c r="G11" s="13">
        <v>608.6</v>
      </c>
      <c r="H11" s="19" t="s">
        <v>27</v>
      </c>
      <c r="J11" s="11">
        <v>40613</v>
      </c>
      <c r="K11" s="13">
        <v>532</v>
      </c>
      <c r="L11" s="19" t="s">
        <v>28</v>
      </c>
      <c r="N11" s="3"/>
      <c r="O11" s="5"/>
      <c r="P11" s="4"/>
    </row>
    <row r="12" spans="2:16" x14ac:dyDescent="0.3">
      <c r="B12" s="11">
        <v>800084</v>
      </c>
      <c r="C12" s="13">
        <v>608.6</v>
      </c>
      <c r="D12" s="19" t="s">
        <v>26</v>
      </c>
      <c r="F12" s="11">
        <v>386143</v>
      </c>
      <c r="G12" s="13">
        <v>1363.6</v>
      </c>
      <c r="H12" s="19" t="s">
        <v>35</v>
      </c>
      <c r="J12" s="11">
        <v>153697</v>
      </c>
      <c r="K12" s="13">
        <v>389.84</v>
      </c>
      <c r="L12" s="19" t="s">
        <v>28</v>
      </c>
      <c r="N12" s="3"/>
      <c r="O12" s="5"/>
      <c r="P12" s="4"/>
    </row>
    <row r="13" spans="2:16" x14ac:dyDescent="0.3">
      <c r="B13" s="11">
        <v>386143</v>
      </c>
      <c r="C13" s="13">
        <v>1363.59</v>
      </c>
      <c r="D13" s="19" t="s">
        <v>33</v>
      </c>
      <c r="F13" s="11">
        <v>40613</v>
      </c>
      <c r="G13" s="13">
        <v>532</v>
      </c>
      <c r="H13" s="19" t="s">
        <v>27</v>
      </c>
      <c r="J13" s="11">
        <v>1640</v>
      </c>
      <c r="K13" s="13">
        <v>2879.84</v>
      </c>
      <c r="L13" s="19" t="s">
        <v>26</v>
      </c>
    </row>
    <row r="14" spans="2:16" x14ac:dyDescent="0.3">
      <c r="B14" s="11">
        <v>40613</v>
      </c>
      <c r="C14" s="13">
        <v>532</v>
      </c>
      <c r="D14" s="19" t="s">
        <v>26</v>
      </c>
      <c r="F14" s="11">
        <v>153697</v>
      </c>
      <c r="G14" s="13">
        <v>389.83</v>
      </c>
      <c r="H14" s="19" t="s">
        <v>27</v>
      </c>
      <c r="J14" s="11">
        <v>153942</v>
      </c>
      <c r="K14" s="13">
        <v>545.26</v>
      </c>
      <c r="L14" s="19" t="s">
        <v>28</v>
      </c>
    </row>
    <row r="15" spans="2:16" x14ac:dyDescent="0.3">
      <c r="B15" s="11">
        <v>153697</v>
      </c>
      <c r="C15" s="13">
        <v>389.83</v>
      </c>
      <c r="D15" s="19" t="s">
        <v>26</v>
      </c>
      <c r="F15" s="11">
        <v>1640</v>
      </c>
      <c r="G15" s="13">
        <v>2879.83</v>
      </c>
      <c r="H15" s="19" t="s">
        <v>26</v>
      </c>
      <c r="J15" s="11">
        <v>154221</v>
      </c>
      <c r="K15" s="13">
        <v>164.7</v>
      </c>
      <c r="L15" s="19" t="s">
        <v>28</v>
      </c>
    </row>
    <row r="16" spans="2:16" x14ac:dyDescent="0.3">
      <c r="B16" s="11">
        <v>151728</v>
      </c>
      <c r="C16" s="13">
        <v>691.79</v>
      </c>
      <c r="D16" s="19" t="s">
        <v>29</v>
      </c>
      <c r="F16" s="11">
        <v>153942</v>
      </c>
      <c r="G16" s="13">
        <v>545.27</v>
      </c>
      <c r="H16" s="19" t="s">
        <v>27</v>
      </c>
      <c r="J16" s="11">
        <v>154333</v>
      </c>
      <c r="K16" s="13">
        <v>252.5</v>
      </c>
      <c r="L16" s="19" t="s">
        <v>26</v>
      </c>
    </row>
    <row r="17" spans="2:12" x14ac:dyDescent="0.3">
      <c r="B17" s="11">
        <v>151757</v>
      </c>
      <c r="C17" s="13">
        <v>1964.76</v>
      </c>
      <c r="D17" s="19" t="s">
        <v>29</v>
      </c>
      <c r="F17" s="11">
        <v>154221</v>
      </c>
      <c r="G17" s="13">
        <v>164.7</v>
      </c>
      <c r="H17" s="19" t="s">
        <v>27</v>
      </c>
      <c r="J17" s="11">
        <v>154299</v>
      </c>
      <c r="K17" s="13">
        <v>237.4</v>
      </c>
      <c r="L17" s="19" t="s">
        <v>28</v>
      </c>
    </row>
    <row r="18" spans="2:12" x14ac:dyDescent="0.3">
      <c r="B18" s="11">
        <v>1640</v>
      </c>
      <c r="C18" s="13">
        <v>2879.83</v>
      </c>
      <c r="D18" s="19" t="s">
        <v>26</v>
      </c>
      <c r="F18" s="11">
        <v>154333</v>
      </c>
      <c r="G18" s="13">
        <v>252.5</v>
      </c>
      <c r="H18" s="19" t="s">
        <v>26</v>
      </c>
      <c r="J18" s="11">
        <v>92636</v>
      </c>
      <c r="K18" s="13">
        <v>271.44</v>
      </c>
      <c r="L18" s="19" t="s">
        <v>28</v>
      </c>
    </row>
    <row r="19" spans="2:12" x14ac:dyDescent="0.3">
      <c r="B19" s="11">
        <v>153942</v>
      </c>
      <c r="C19" s="13">
        <v>545.27</v>
      </c>
      <c r="D19" s="19" t="s">
        <v>26</v>
      </c>
      <c r="F19" s="11">
        <v>154299</v>
      </c>
      <c r="G19" s="13">
        <v>237.4</v>
      </c>
      <c r="H19" s="19" t="s">
        <v>27</v>
      </c>
      <c r="J19" s="11">
        <v>378278</v>
      </c>
      <c r="K19" s="13">
        <v>1515.66</v>
      </c>
      <c r="L19" s="19" t="s">
        <v>28</v>
      </c>
    </row>
    <row r="20" spans="2:12" x14ac:dyDescent="0.3">
      <c r="B20" s="11">
        <v>154162</v>
      </c>
      <c r="C20" s="13">
        <v>199.68</v>
      </c>
      <c r="D20" s="19" t="s">
        <v>29</v>
      </c>
      <c r="F20" s="11">
        <v>151802</v>
      </c>
      <c r="G20" s="13">
        <v>745.16</v>
      </c>
      <c r="H20" s="19" t="s">
        <v>32</v>
      </c>
      <c r="J20" s="11">
        <v>159240</v>
      </c>
      <c r="K20" s="13">
        <v>133.94999999999999</v>
      </c>
      <c r="L20" s="19" t="s">
        <v>32</v>
      </c>
    </row>
    <row r="21" spans="2:12" x14ac:dyDescent="0.3">
      <c r="B21" s="11">
        <v>154221</v>
      </c>
      <c r="C21" s="13">
        <v>164.7</v>
      </c>
      <c r="D21" s="19" t="s">
        <v>26</v>
      </c>
      <c r="F21" s="11">
        <v>92636</v>
      </c>
      <c r="G21" s="13">
        <v>271.44</v>
      </c>
      <c r="H21" s="19" t="s">
        <v>27</v>
      </c>
      <c r="J21" s="11">
        <v>144</v>
      </c>
      <c r="K21" s="13">
        <v>2700</v>
      </c>
      <c r="L21" s="19" t="s">
        <v>29</v>
      </c>
    </row>
    <row r="22" spans="2:12" x14ac:dyDescent="0.3">
      <c r="B22" s="11">
        <v>154333</v>
      </c>
      <c r="C22" s="13">
        <v>252.5</v>
      </c>
      <c r="D22" s="19" t="s">
        <v>26</v>
      </c>
      <c r="F22" s="11">
        <v>378278</v>
      </c>
      <c r="G22" s="13">
        <v>1515.66</v>
      </c>
      <c r="H22" s="19" t="s">
        <v>27</v>
      </c>
      <c r="J22" s="11">
        <v>5713</v>
      </c>
      <c r="K22" s="13">
        <v>17400</v>
      </c>
      <c r="L22" s="19" t="s">
        <v>29</v>
      </c>
    </row>
    <row r="23" spans="2:12" x14ac:dyDescent="0.3">
      <c r="B23" s="11">
        <v>154299</v>
      </c>
      <c r="C23" s="13">
        <v>237.4</v>
      </c>
      <c r="D23" s="19" t="s">
        <v>26</v>
      </c>
      <c r="F23" s="11">
        <v>5700</v>
      </c>
      <c r="G23" s="13">
        <v>17400</v>
      </c>
      <c r="H23" s="19" t="s">
        <v>29</v>
      </c>
      <c r="J23" s="11">
        <v>290</v>
      </c>
      <c r="K23" s="13">
        <v>600</v>
      </c>
      <c r="L23" s="19" t="s">
        <v>29</v>
      </c>
    </row>
    <row r="24" spans="2:12" x14ac:dyDescent="0.3">
      <c r="B24" s="11">
        <v>151802</v>
      </c>
      <c r="C24" s="13">
        <v>745.15</v>
      </c>
      <c r="D24" s="19" t="s">
        <v>30</v>
      </c>
      <c r="F24" s="11">
        <v>159240</v>
      </c>
      <c r="G24" s="13">
        <v>133.94999999999999</v>
      </c>
      <c r="H24" s="19" t="s">
        <v>30</v>
      </c>
      <c r="J24" s="11">
        <v>8314</v>
      </c>
      <c r="K24" s="13">
        <v>216</v>
      </c>
      <c r="L24" s="19" t="s">
        <v>29</v>
      </c>
    </row>
    <row r="25" spans="2:12" x14ac:dyDescent="0.3">
      <c r="B25" s="11">
        <v>92636</v>
      </c>
      <c r="C25" s="13">
        <v>271.44</v>
      </c>
      <c r="D25" s="19" t="s">
        <v>26</v>
      </c>
      <c r="F25" s="11">
        <v>88219</v>
      </c>
      <c r="G25" s="13">
        <v>180</v>
      </c>
      <c r="H25" s="19" t="s">
        <v>29</v>
      </c>
      <c r="J25" s="12">
        <v>4</v>
      </c>
      <c r="K25" s="14">
        <v>576</v>
      </c>
      <c r="L25" s="20" t="s">
        <v>29</v>
      </c>
    </row>
    <row r="26" spans="2:12" x14ac:dyDescent="0.3">
      <c r="B26" s="11">
        <v>378278</v>
      </c>
      <c r="C26" s="13">
        <v>1515.66</v>
      </c>
      <c r="D26" s="19" t="s">
        <v>26</v>
      </c>
      <c r="F26" s="11">
        <v>554</v>
      </c>
      <c r="G26" s="13">
        <v>450</v>
      </c>
      <c r="H26" s="19" t="s">
        <v>29</v>
      </c>
    </row>
    <row r="27" spans="2:12" x14ac:dyDescent="0.3">
      <c r="B27" s="11">
        <v>378502</v>
      </c>
      <c r="C27" s="13">
        <v>398.01</v>
      </c>
      <c r="D27" s="19" t="s">
        <v>29</v>
      </c>
      <c r="F27" s="12">
        <v>165243</v>
      </c>
      <c r="G27" s="14">
        <v>139.80000000000001</v>
      </c>
      <c r="H27" s="20" t="s">
        <v>29</v>
      </c>
    </row>
    <row r="28" spans="2:12" x14ac:dyDescent="0.3">
      <c r="B28" s="11">
        <v>5693</v>
      </c>
      <c r="C28" s="13">
        <v>17400</v>
      </c>
      <c r="D28" s="19" t="s">
        <v>29</v>
      </c>
      <c r="H28" s="4"/>
    </row>
    <row r="29" spans="2:12" x14ac:dyDescent="0.3">
      <c r="B29" s="11">
        <v>7</v>
      </c>
      <c r="C29" s="13">
        <v>7200</v>
      </c>
      <c r="D29" s="19" t="s">
        <v>29</v>
      </c>
      <c r="H29" s="4"/>
    </row>
    <row r="30" spans="2:12" x14ac:dyDescent="0.3">
      <c r="B30" s="11">
        <v>28</v>
      </c>
      <c r="C30" s="13">
        <v>1100</v>
      </c>
      <c r="D30" s="19" t="s">
        <v>29</v>
      </c>
      <c r="H30" s="4"/>
    </row>
    <row r="31" spans="2:12" x14ac:dyDescent="0.3">
      <c r="B31" s="12">
        <v>263006004</v>
      </c>
      <c r="C31" s="14">
        <v>1350</v>
      </c>
      <c r="D31" s="20" t="s">
        <v>29</v>
      </c>
      <c r="H31" s="4"/>
    </row>
    <row r="33" spans="3:12" x14ac:dyDescent="0.3">
      <c r="C33" s="15" t="s">
        <v>31</v>
      </c>
      <c r="D33" s="6">
        <f>SUM(C5:C31)</f>
        <v>57776.289999999994</v>
      </c>
      <c r="G33" s="15" t="s">
        <v>31</v>
      </c>
      <c r="H33" s="6">
        <f>SUM(G5:G27)</f>
        <v>37170.449999999997</v>
      </c>
      <c r="K33" s="15" t="s">
        <v>31</v>
      </c>
      <c r="L33" s="6">
        <f>SUM(K5:K25)</f>
        <v>37454.28</v>
      </c>
    </row>
    <row r="1048573" spans="8:8" x14ac:dyDescent="0.3">
      <c r="H1048573" s="4"/>
    </row>
  </sheetData>
  <mergeCells count="1">
    <mergeCell ref="B2:L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A3C3-793C-4A5C-B03F-73C67F01B74E}">
  <dimension ref="B1:P1048573"/>
  <sheetViews>
    <sheetView workbookViewId="0">
      <selection activeCell="D63" sqref="D63"/>
    </sheetView>
  </sheetViews>
  <sheetFormatPr defaultRowHeight="14.4" x14ac:dyDescent="0.3"/>
  <cols>
    <col min="2" max="2" width="10" style="3" bestFit="1" customWidth="1"/>
    <col min="3" max="3" width="11.5546875" style="5" bestFit="1" customWidth="1"/>
    <col min="4" max="4" width="12.5546875" style="4" bestFit="1" customWidth="1"/>
    <col min="6" max="6" width="10.109375" style="3" bestFit="1" customWidth="1"/>
    <col min="7" max="7" width="11.5546875" style="5" bestFit="1" customWidth="1"/>
    <col min="8" max="8" width="11.5546875" style="3" bestFit="1" customWidth="1"/>
    <col min="10" max="10" width="10" style="3" bestFit="1" customWidth="1"/>
    <col min="11" max="11" width="11.5546875" style="5" bestFit="1" customWidth="1"/>
    <col min="12" max="12" width="11.5546875" style="4" bestFit="1" customWidth="1"/>
  </cols>
  <sheetData>
    <row r="1" spans="2:16" x14ac:dyDescent="0.3">
      <c r="H1" s="4"/>
    </row>
    <row r="2" spans="2:16" ht="15.6" x14ac:dyDescent="0.3">
      <c r="B2" s="44" t="s">
        <v>22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2:16" x14ac:dyDescent="0.3">
      <c r="B3" s="9" t="s">
        <v>1</v>
      </c>
      <c r="F3" s="9" t="s">
        <v>23</v>
      </c>
      <c r="J3" s="9" t="s">
        <v>24</v>
      </c>
      <c r="N3" s="9" t="s">
        <v>40</v>
      </c>
      <c r="O3" s="5"/>
      <c r="P3" s="4"/>
    </row>
    <row r="4" spans="2:16" x14ac:dyDescent="0.3">
      <c r="B4" s="2" t="s">
        <v>21</v>
      </c>
      <c r="C4" s="2" t="s">
        <v>20</v>
      </c>
      <c r="D4" s="2" t="s">
        <v>25</v>
      </c>
      <c r="F4" s="2" t="s">
        <v>21</v>
      </c>
      <c r="G4" s="2" t="s">
        <v>20</v>
      </c>
      <c r="H4" s="2" t="s">
        <v>25</v>
      </c>
      <c r="J4" s="2" t="s">
        <v>21</v>
      </c>
      <c r="K4" s="2" t="s">
        <v>20</v>
      </c>
      <c r="L4" s="2" t="s">
        <v>25</v>
      </c>
      <c r="N4" s="2" t="s">
        <v>21</v>
      </c>
      <c r="O4" s="22" t="s">
        <v>20</v>
      </c>
      <c r="P4" s="2" t="s">
        <v>25</v>
      </c>
    </row>
    <row r="5" spans="2:16" x14ac:dyDescent="0.3">
      <c r="B5" s="16">
        <v>686</v>
      </c>
      <c r="C5" s="17">
        <v>2166.6666666666601</v>
      </c>
      <c r="D5" s="18" t="s">
        <v>27</v>
      </c>
      <c r="F5" s="16">
        <v>686</v>
      </c>
      <c r="G5" s="17">
        <v>2166.6666666666601</v>
      </c>
      <c r="H5" s="18" t="s">
        <v>28</v>
      </c>
      <c r="J5" s="11">
        <v>20673</v>
      </c>
      <c r="K5" s="13">
        <v>731.61</v>
      </c>
      <c r="L5" s="19" t="s">
        <v>48</v>
      </c>
      <c r="N5" s="16"/>
      <c r="O5" s="23"/>
      <c r="P5" s="18"/>
    </row>
    <row r="6" spans="2:16" x14ac:dyDescent="0.3">
      <c r="B6" s="11">
        <v>2210301</v>
      </c>
      <c r="C6" s="13">
        <v>2035.36</v>
      </c>
      <c r="D6" s="19" t="s">
        <v>38</v>
      </c>
      <c r="E6" s="3"/>
      <c r="F6" s="11">
        <v>2210301</v>
      </c>
      <c r="G6" s="13">
        <v>2035.36</v>
      </c>
      <c r="H6" s="19" t="s">
        <v>39</v>
      </c>
      <c r="J6" s="11">
        <v>384622</v>
      </c>
      <c r="K6" s="13">
        <v>1444.14</v>
      </c>
      <c r="L6" s="19" t="s">
        <v>49</v>
      </c>
      <c r="N6" s="11"/>
      <c r="O6" s="21"/>
      <c r="P6" s="19"/>
    </row>
    <row r="7" spans="2:16" x14ac:dyDescent="0.3">
      <c r="B7" s="11">
        <v>20673</v>
      </c>
      <c r="C7" s="13">
        <v>731.59</v>
      </c>
      <c r="D7" s="19" t="s">
        <v>43</v>
      </c>
      <c r="F7" s="11">
        <v>20673</v>
      </c>
      <c r="G7" s="13">
        <v>731.59</v>
      </c>
      <c r="H7" s="19" t="s">
        <v>47</v>
      </c>
      <c r="J7" s="11">
        <v>21009</v>
      </c>
      <c r="K7" s="13">
        <v>377.62</v>
      </c>
      <c r="L7" s="19" t="s">
        <v>39</v>
      </c>
      <c r="N7" s="11"/>
      <c r="O7" s="21"/>
      <c r="P7" s="19"/>
    </row>
    <row r="8" spans="2:16" x14ac:dyDescent="0.3">
      <c r="B8" s="11">
        <v>662</v>
      </c>
      <c r="C8" s="13">
        <v>2149.04</v>
      </c>
      <c r="D8" s="19" t="s">
        <v>38</v>
      </c>
      <c r="F8" s="11">
        <v>662</v>
      </c>
      <c r="G8" s="13">
        <v>2149.0300000000002</v>
      </c>
      <c r="H8" s="19" t="s">
        <v>39</v>
      </c>
      <c r="J8" s="11">
        <v>677</v>
      </c>
      <c r="K8" s="13">
        <v>1725</v>
      </c>
      <c r="L8" s="19" t="s">
        <v>39</v>
      </c>
      <c r="N8" s="11"/>
      <c r="O8" s="21"/>
      <c r="P8" s="19"/>
    </row>
    <row r="9" spans="2:16" x14ac:dyDescent="0.3">
      <c r="B9" s="11">
        <v>183706</v>
      </c>
      <c r="C9" s="13">
        <v>345.01</v>
      </c>
      <c r="D9" s="19" t="s">
        <v>28</v>
      </c>
      <c r="F9" s="11">
        <v>20848</v>
      </c>
      <c r="G9" s="13">
        <v>485.7</v>
      </c>
      <c r="H9" s="19" t="s">
        <v>39</v>
      </c>
      <c r="J9" s="11">
        <v>2221178</v>
      </c>
      <c r="K9" s="13">
        <v>1751.9</v>
      </c>
      <c r="L9" s="19" t="s">
        <v>39</v>
      </c>
      <c r="N9" s="3"/>
      <c r="O9" s="5"/>
      <c r="P9" s="4"/>
    </row>
    <row r="10" spans="2:16" x14ac:dyDescent="0.3">
      <c r="B10" s="11">
        <v>26786</v>
      </c>
      <c r="C10" s="13">
        <v>1550</v>
      </c>
      <c r="D10" s="19" t="s">
        <v>28</v>
      </c>
      <c r="F10" s="11">
        <v>384622</v>
      </c>
      <c r="G10" s="13">
        <v>1444.14</v>
      </c>
      <c r="H10" s="19" t="s">
        <v>36</v>
      </c>
      <c r="J10" s="11">
        <v>385250</v>
      </c>
      <c r="K10" s="13">
        <v>725.245</v>
      </c>
      <c r="L10" s="19" t="s">
        <v>39</v>
      </c>
      <c r="N10" s="3"/>
      <c r="O10" s="5"/>
      <c r="P10" s="4"/>
    </row>
    <row r="11" spans="2:16" x14ac:dyDescent="0.3">
      <c r="B11" s="11">
        <v>8140</v>
      </c>
      <c r="C11" s="13">
        <v>534.6</v>
      </c>
      <c r="D11" s="19" t="s">
        <v>28</v>
      </c>
      <c r="F11" s="11">
        <v>21009</v>
      </c>
      <c r="G11" s="13">
        <v>377.64</v>
      </c>
      <c r="H11" s="19" t="s">
        <v>38</v>
      </c>
      <c r="J11" s="11">
        <v>695</v>
      </c>
      <c r="K11" s="13">
        <v>2901</v>
      </c>
      <c r="L11" s="19" t="s">
        <v>28</v>
      </c>
      <c r="N11" s="3"/>
      <c r="O11" s="5"/>
      <c r="P11" s="4"/>
    </row>
    <row r="12" spans="2:16" x14ac:dyDescent="0.3">
      <c r="B12" s="11">
        <v>183858</v>
      </c>
      <c r="C12" s="13">
        <v>345.01</v>
      </c>
      <c r="D12" s="19" t="s">
        <v>28</v>
      </c>
      <c r="F12" s="11">
        <v>677</v>
      </c>
      <c r="G12" s="13">
        <v>1725</v>
      </c>
      <c r="H12" s="19" t="s">
        <v>38</v>
      </c>
      <c r="J12" s="11">
        <v>386476</v>
      </c>
      <c r="K12" s="13">
        <v>623</v>
      </c>
      <c r="L12" s="19" t="s">
        <v>38</v>
      </c>
      <c r="N12" s="3"/>
      <c r="O12" s="5"/>
      <c r="P12" s="4"/>
    </row>
    <row r="13" spans="2:16" x14ac:dyDescent="0.3">
      <c r="B13" s="11">
        <v>20848</v>
      </c>
      <c r="C13" s="13">
        <v>485.7</v>
      </c>
      <c r="D13" s="19" t="s">
        <v>38</v>
      </c>
      <c r="F13" s="11">
        <v>685</v>
      </c>
      <c r="G13" s="13">
        <v>1133.3333333333301</v>
      </c>
      <c r="H13" s="19" t="s">
        <v>28</v>
      </c>
      <c r="J13" s="11">
        <v>21945</v>
      </c>
      <c r="K13" s="13">
        <v>5727.25</v>
      </c>
      <c r="L13" s="19" t="s">
        <v>28</v>
      </c>
    </row>
    <row r="14" spans="2:16" x14ac:dyDescent="0.3">
      <c r="B14" s="11">
        <v>384622</v>
      </c>
      <c r="C14" s="13">
        <v>1444.14</v>
      </c>
      <c r="D14" s="19" t="s">
        <v>35</v>
      </c>
      <c r="F14" s="11">
        <v>1125864</v>
      </c>
      <c r="G14" s="13">
        <v>914.54</v>
      </c>
      <c r="H14" s="19" t="s">
        <v>28</v>
      </c>
      <c r="J14" s="11">
        <v>64796</v>
      </c>
      <c r="K14" s="13">
        <v>230</v>
      </c>
      <c r="L14" s="19" t="s">
        <v>32</v>
      </c>
    </row>
    <row r="15" spans="2:16" x14ac:dyDescent="0.3">
      <c r="B15" s="11">
        <v>26897</v>
      </c>
      <c r="C15" s="13">
        <v>656</v>
      </c>
      <c r="D15" s="19" t="s">
        <v>32</v>
      </c>
      <c r="F15" s="11">
        <v>208785</v>
      </c>
      <c r="G15" s="13">
        <v>2516.66</v>
      </c>
      <c r="H15" s="19" t="s">
        <v>28</v>
      </c>
      <c r="J15" s="11">
        <v>2268331</v>
      </c>
      <c r="K15" s="13">
        <v>394.58</v>
      </c>
      <c r="L15" s="19" t="s">
        <v>29</v>
      </c>
    </row>
    <row r="16" spans="2:16" x14ac:dyDescent="0.3">
      <c r="B16" s="11">
        <v>21009</v>
      </c>
      <c r="C16" s="13">
        <v>377.64</v>
      </c>
      <c r="D16" s="19" t="s">
        <v>37</v>
      </c>
      <c r="F16" s="11">
        <v>2221178</v>
      </c>
      <c r="G16" s="13">
        <v>1751.9</v>
      </c>
      <c r="H16" s="19" t="s">
        <v>38</v>
      </c>
      <c r="J16" s="11">
        <v>23</v>
      </c>
      <c r="K16" s="13">
        <v>4100</v>
      </c>
      <c r="L16" s="19" t="s">
        <v>30</v>
      </c>
    </row>
    <row r="17" spans="2:12" x14ac:dyDescent="0.3">
      <c r="B17" s="11">
        <v>677</v>
      </c>
      <c r="C17" s="13">
        <v>1725</v>
      </c>
      <c r="D17" s="19" t="s">
        <v>37</v>
      </c>
      <c r="F17" s="11">
        <v>184373</v>
      </c>
      <c r="G17" s="13">
        <v>345.01</v>
      </c>
      <c r="H17" s="19" t="s">
        <v>28</v>
      </c>
      <c r="J17" s="11">
        <v>533</v>
      </c>
      <c r="K17" s="13">
        <v>16666.66</v>
      </c>
      <c r="L17" s="19" t="s">
        <v>29</v>
      </c>
    </row>
    <row r="18" spans="2:12" x14ac:dyDescent="0.3">
      <c r="B18" s="11">
        <v>1876</v>
      </c>
      <c r="C18" s="13">
        <v>23989.235000000001</v>
      </c>
      <c r="D18" s="19" t="s">
        <v>32</v>
      </c>
      <c r="F18" s="11">
        <v>184445</v>
      </c>
      <c r="G18" s="13">
        <v>598.33666666666602</v>
      </c>
      <c r="H18" s="19" t="s">
        <v>28</v>
      </c>
      <c r="J18" s="11">
        <v>23087</v>
      </c>
      <c r="K18" s="13">
        <v>173.6</v>
      </c>
      <c r="L18" s="19" t="s">
        <v>29</v>
      </c>
    </row>
    <row r="19" spans="2:12" x14ac:dyDescent="0.3">
      <c r="B19" s="11">
        <v>685</v>
      </c>
      <c r="C19" s="13">
        <v>1133.3333333333301</v>
      </c>
      <c r="D19" s="19" t="s">
        <v>27</v>
      </c>
      <c r="F19" s="11">
        <v>385250</v>
      </c>
      <c r="G19" s="13">
        <v>725.245</v>
      </c>
      <c r="H19" s="19" t="s">
        <v>38</v>
      </c>
      <c r="J19" s="11">
        <v>149</v>
      </c>
      <c r="K19" s="13">
        <v>2700</v>
      </c>
      <c r="L19" s="19" t="s">
        <v>29</v>
      </c>
    </row>
    <row r="20" spans="2:12" x14ac:dyDescent="0.3">
      <c r="B20" s="11">
        <v>1125864</v>
      </c>
      <c r="C20" s="13">
        <v>914.25</v>
      </c>
      <c r="D20" s="19" t="s">
        <v>27</v>
      </c>
      <c r="F20" s="11">
        <v>209675</v>
      </c>
      <c r="G20" s="13">
        <v>2495.15</v>
      </c>
      <c r="H20" s="19" t="s">
        <v>28</v>
      </c>
      <c r="J20" s="11">
        <v>2</v>
      </c>
      <c r="K20" s="13">
        <v>450</v>
      </c>
      <c r="L20" s="19" t="s">
        <v>29</v>
      </c>
    </row>
    <row r="21" spans="2:12" x14ac:dyDescent="0.3">
      <c r="B21" s="11">
        <v>208785</v>
      </c>
      <c r="C21" s="13">
        <v>2516.66</v>
      </c>
      <c r="D21" s="19" t="s">
        <v>27</v>
      </c>
      <c r="F21" s="11">
        <v>184538</v>
      </c>
      <c r="G21" s="13">
        <v>418.66</v>
      </c>
      <c r="H21" s="19" t="s">
        <v>28</v>
      </c>
      <c r="J21" s="12">
        <v>222</v>
      </c>
      <c r="K21" s="14">
        <v>699.9</v>
      </c>
      <c r="L21" s="20" t="s">
        <v>29</v>
      </c>
    </row>
    <row r="22" spans="2:12" x14ac:dyDescent="0.3">
      <c r="B22" s="11">
        <v>2221178</v>
      </c>
      <c r="C22" s="13">
        <v>1751.9</v>
      </c>
      <c r="D22" s="19" t="s">
        <v>37</v>
      </c>
      <c r="F22" s="11">
        <v>21247</v>
      </c>
      <c r="G22" s="13">
        <v>219.47</v>
      </c>
      <c r="H22" s="19" t="s">
        <v>28</v>
      </c>
    </row>
    <row r="23" spans="2:12" x14ac:dyDescent="0.3">
      <c r="B23" s="11">
        <v>184373</v>
      </c>
      <c r="C23" s="13">
        <v>345.02</v>
      </c>
      <c r="D23" s="19" t="s">
        <v>27</v>
      </c>
      <c r="F23" s="11">
        <v>1128327</v>
      </c>
      <c r="G23" s="13">
        <v>575.24</v>
      </c>
      <c r="H23" s="19" t="s">
        <v>28</v>
      </c>
    </row>
    <row r="24" spans="2:12" x14ac:dyDescent="0.3">
      <c r="B24" s="11">
        <v>184445</v>
      </c>
      <c r="C24" s="13">
        <v>598.33666666666602</v>
      </c>
      <c r="D24" s="19" t="s">
        <v>27</v>
      </c>
      <c r="F24" s="11">
        <v>1128280</v>
      </c>
      <c r="G24" s="13">
        <v>402.5</v>
      </c>
      <c r="H24" s="19" t="s">
        <v>28</v>
      </c>
    </row>
    <row r="25" spans="2:12" x14ac:dyDescent="0.3">
      <c r="B25" s="11">
        <v>385250</v>
      </c>
      <c r="C25" s="13">
        <v>725.245</v>
      </c>
      <c r="D25" s="19" t="s">
        <v>37</v>
      </c>
      <c r="F25" s="11">
        <v>1128508</v>
      </c>
      <c r="G25" s="13">
        <v>468.95</v>
      </c>
      <c r="H25" s="19" t="s">
        <v>28</v>
      </c>
    </row>
    <row r="26" spans="2:12" x14ac:dyDescent="0.3">
      <c r="B26" s="11">
        <v>209675</v>
      </c>
      <c r="C26" s="13">
        <v>2495.16</v>
      </c>
      <c r="D26" s="19" t="s">
        <v>27</v>
      </c>
      <c r="F26" s="11">
        <v>812440</v>
      </c>
      <c r="G26" s="13">
        <v>292.45</v>
      </c>
      <c r="H26" s="19" t="s">
        <v>28</v>
      </c>
    </row>
    <row r="27" spans="2:12" x14ac:dyDescent="0.3">
      <c r="B27" s="11">
        <v>184538</v>
      </c>
      <c r="C27" s="13">
        <v>418.66</v>
      </c>
      <c r="D27" s="19" t="s">
        <v>27</v>
      </c>
      <c r="F27" s="11">
        <v>226232</v>
      </c>
      <c r="G27" s="13">
        <v>1028.07</v>
      </c>
      <c r="H27" s="19" t="s">
        <v>28</v>
      </c>
    </row>
    <row r="28" spans="2:12" x14ac:dyDescent="0.3">
      <c r="B28" s="11">
        <v>811594</v>
      </c>
      <c r="C28" s="13">
        <v>258.93</v>
      </c>
      <c r="D28" s="19" t="s">
        <v>32</v>
      </c>
      <c r="F28" s="11">
        <v>1164758</v>
      </c>
      <c r="G28" s="13">
        <v>580.44000000000005</v>
      </c>
      <c r="H28" s="19" t="s">
        <v>28</v>
      </c>
    </row>
    <row r="29" spans="2:12" x14ac:dyDescent="0.3">
      <c r="B29" s="11">
        <v>811324</v>
      </c>
      <c r="C29" s="13">
        <v>53.8</v>
      </c>
      <c r="D29" s="19" t="s">
        <v>32</v>
      </c>
      <c r="F29" s="11">
        <v>1210</v>
      </c>
      <c r="G29" s="13">
        <v>766.34</v>
      </c>
      <c r="H29" s="19" t="s">
        <v>28</v>
      </c>
    </row>
    <row r="30" spans="2:12" x14ac:dyDescent="0.3">
      <c r="B30" s="11">
        <v>811312</v>
      </c>
      <c r="C30" s="13">
        <v>151.93</v>
      </c>
      <c r="D30" s="19" t="s">
        <v>32</v>
      </c>
      <c r="F30" s="11">
        <v>21823</v>
      </c>
      <c r="G30" s="13">
        <v>666.63</v>
      </c>
      <c r="H30" s="19" t="s">
        <v>28</v>
      </c>
    </row>
    <row r="31" spans="2:12" x14ac:dyDescent="0.3">
      <c r="B31" s="11">
        <v>21247</v>
      </c>
      <c r="C31" s="13">
        <v>219.47</v>
      </c>
      <c r="D31" s="19" t="s">
        <v>27</v>
      </c>
      <c r="F31" s="11">
        <v>386476</v>
      </c>
      <c r="G31" s="13">
        <v>623</v>
      </c>
      <c r="H31" s="19" t="s">
        <v>37</v>
      </c>
    </row>
    <row r="32" spans="2:12" x14ac:dyDescent="0.3">
      <c r="B32" s="11">
        <v>1625</v>
      </c>
      <c r="C32" s="13">
        <v>2825</v>
      </c>
      <c r="D32" s="19" t="s">
        <v>32</v>
      </c>
      <c r="F32" s="11">
        <v>695</v>
      </c>
      <c r="G32" s="13">
        <v>2901</v>
      </c>
      <c r="H32" s="19" t="s">
        <v>27</v>
      </c>
    </row>
    <row r="33" spans="2:8" x14ac:dyDescent="0.3">
      <c r="B33" s="11">
        <v>4463</v>
      </c>
      <c r="C33" s="13">
        <v>2000</v>
      </c>
      <c r="D33" s="19" t="s">
        <v>32</v>
      </c>
      <c r="F33" s="11">
        <v>21945</v>
      </c>
      <c r="G33" s="13">
        <v>5727.25</v>
      </c>
      <c r="H33" s="19" t="s">
        <v>27</v>
      </c>
    </row>
    <row r="34" spans="2:8" x14ac:dyDescent="0.3">
      <c r="B34" s="11">
        <v>27061</v>
      </c>
      <c r="C34" s="13">
        <v>775</v>
      </c>
      <c r="D34" s="19" t="s">
        <v>32</v>
      </c>
      <c r="F34" s="11">
        <v>84</v>
      </c>
      <c r="G34" s="13">
        <v>3275</v>
      </c>
      <c r="H34" s="19" t="s">
        <v>29</v>
      </c>
    </row>
    <row r="35" spans="2:8" x14ac:dyDescent="0.3">
      <c r="B35" s="11">
        <v>1128327</v>
      </c>
      <c r="C35" s="13">
        <v>575.05999999999995</v>
      </c>
      <c r="D35" s="19" t="s">
        <v>27</v>
      </c>
      <c r="F35" s="11">
        <v>1184418</v>
      </c>
      <c r="G35" s="13">
        <v>165.21</v>
      </c>
      <c r="H35" s="19" t="s">
        <v>29</v>
      </c>
    </row>
    <row r="36" spans="2:8" x14ac:dyDescent="0.3">
      <c r="B36" s="11">
        <v>1128280</v>
      </c>
      <c r="C36" s="13">
        <v>402.5</v>
      </c>
      <c r="D36" s="19" t="s">
        <v>27</v>
      </c>
      <c r="F36" s="11">
        <v>523</v>
      </c>
      <c r="G36" s="13">
        <v>16666.66</v>
      </c>
      <c r="H36" s="19" t="s">
        <v>29</v>
      </c>
    </row>
    <row r="37" spans="2:8" x14ac:dyDescent="0.3">
      <c r="B37" s="11">
        <v>1128508</v>
      </c>
      <c r="C37" s="13">
        <v>468.8</v>
      </c>
      <c r="D37" s="19" t="s">
        <v>27</v>
      </c>
      <c r="F37" s="11">
        <v>64796</v>
      </c>
      <c r="G37" s="13">
        <v>230</v>
      </c>
      <c r="H37" s="19" t="s">
        <v>30</v>
      </c>
    </row>
    <row r="38" spans="2:8" x14ac:dyDescent="0.3">
      <c r="B38" s="11">
        <v>812440</v>
      </c>
      <c r="C38" s="13">
        <v>292.33999999999997</v>
      </c>
      <c r="D38" s="19" t="s">
        <v>27</v>
      </c>
      <c r="F38" s="12">
        <v>1146468</v>
      </c>
      <c r="G38" s="14">
        <v>189.9</v>
      </c>
      <c r="H38" s="20" t="s">
        <v>29</v>
      </c>
    </row>
    <row r="39" spans="2:8" x14ac:dyDescent="0.3">
      <c r="B39" s="11">
        <v>226232</v>
      </c>
      <c r="C39" s="13">
        <v>1028.07</v>
      </c>
      <c r="D39" s="19" t="s">
        <v>27</v>
      </c>
      <c r="H39" s="4"/>
    </row>
    <row r="40" spans="2:8" x14ac:dyDescent="0.3">
      <c r="B40" s="11">
        <v>1164758</v>
      </c>
      <c r="C40" s="13">
        <v>580.44000000000005</v>
      </c>
      <c r="D40" s="19" t="s">
        <v>27</v>
      </c>
      <c r="H40" s="4"/>
    </row>
    <row r="41" spans="2:8" x14ac:dyDescent="0.3">
      <c r="B41" s="11">
        <v>27094</v>
      </c>
      <c r="C41" s="13">
        <v>885</v>
      </c>
      <c r="D41" s="19" t="s">
        <v>32</v>
      </c>
      <c r="H41" s="4"/>
    </row>
    <row r="42" spans="2:8" x14ac:dyDescent="0.3">
      <c r="B42" s="11">
        <v>2228745</v>
      </c>
      <c r="C42" s="13">
        <v>666.04</v>
      </c>
      <c r="D42" s="19" t="s">
        <v>32</v>
      </c>
      <c r="H42" s="4"/>
    </row>
    <row r="43" spans="2:8" x14ac:dyDescent="0.3">
      <c r="B43" s="11">
        <v>1210</v>
      </c>
      <c r="C43" s="13">
        <v>766.33</v>
      </c>
      <c r="D43" s="19" t="s">
        <v>27</v>
      </c>
      <c r="H43" s="4"/>
    </row>
    <row r="44" spans="2:8" x14ac:dyDescent="0.3">
      <c r="B44" s="11">
        <v>67103</v>
      </c>
      <c r="C44" s="13">
        <v>234.26</v>
      </c>
      <c r="D44" s="19" t="s">
        <v>32</v>
      </c>
      <c r="H44" s="4"/>
    </row>
    <row r="45" spans="2:8" x14ac:dyDescent="0.3">
      <c r="B45" s="11">
        <v>21823</v>
      </c>
      <c r="C45" s="13">
        <v>666.63</v>
      </c>
      <c r="D45" s="19" t="s">
        <v>27</v>
      </c>
      <c r="H45" s="4"/>
    </row>
    <row r="46" spans="2:8" x14ac:dyDescent="0.3">
      <c r="B46" s="11">
        <v>184881</v>
      </c>
      <c r="C46" s="13">
        <v>418.48</v>
      </c>
      <c r="D46" s="19" t="s">
        <v>32</v>
      </c>
      <c r="H46" s="4"/>
    </row>
    <row r="47" spans="2:8" x14ac:dyDescent="0.3">
      <c r="B47" s="11">
        <v>386476</v>
      </c>
      <c r="C47" s="13">
        <v>623</v>
      </c>
      <c r="D47" s="19" t="s">
        <v>34</v>
      </c>
      <c r="H47" s="4"/>
    </row>
    <row r="48" spans="2:8" x14ac:dyDescent="0.3">
      <c r="B48" s="11">
        <v>1623</v>
      </c>
      <c r="C48" s="13">
        <v>3376</v>
      </c>
      <c r="D48" s="19" t="s">
        <v>29</v>
      </c>
      <c r="H48" s="4"/>
    </row>
    <row r="49" spans="2:12" x14ac:dyDescent="0.3">
      <c r="B49" s="11">
        <v>5</v>
      </c>
      <c r="C49" s="13">
        <v>800</v>
      </c>
      <c r="D49" s="19" t="s">
        <v>29</v>
      </c>
      <c r="H49" s="4"/>
    </row>
    <row r="50" spans="2:12" x14ac:dyDescent="0.3">
      <c r="B50" s="11">
        <v>123976</v>
      </c>
      <c r="C50" s="13">
        <v>76.8</v>
      </c>
      <c r="D50" s="19" t="s">
        <v>29</v>
      </c>
      <c r="H50" s="4"/>
    </row>
    <row r="51" spans="2:12" x14ac:dyDescent="0.3">
      <c r="B51" s="11">
        <v>585</v>
      </c>
      <c r="C51" s="13">
        <v>42500</v>
      </c>
      <c r="D51" s="19" t="s">
        <v>29</v>
      </c>
      <c r="H51" s="4"/>
    </row>
    <row r="52" spans="2:12" x14ac:dyDescent="0.3">
      <c r="B52" s="11">
        <v>9130</v>
      </c>
      <c r="C52" s="13">
        <v>14</v>
      </c>
      <c r="D52" s="19" t="s">
        <v>29</v>
      </c>
      <c r="H52" s="4"/>
    </row>
    <row r="53" spans="2:12" x14ac:dyDescent="0.3">
      <c r="B53" s="11">
        <v>1140173</v>
      </c>
      <c r="C53" s="13">
        <v>62.99</v>
      </c>
      <c r="D53" s="19" t="s">
        <v>29</v>
      </c>
      <c r="H53" s="4"/>
    </row>
    <row r="54" spans="2:12" x14ac:dyDescent="0.3">
      <c r="B54" s="11">
        <v>3419</v>
      </c>
      <c r="C54" s="13">
        <v>66</v>
      </c>
      <c r="D54" s="19" t="s">
        <v>29</v>
      </c>
      <c r="H54" s="4"/>
    </row>
    <row r="55" spans="2:12" x14ac:dyDescent="0.3">
      <c r="B55" s="11">
        <v>4</v>
      </c>
      <c r="C55" s="13">
        <v>8900</v>
      </c>
      <c r="D55" s="19" t="s">
        <v>29</v>
      </c>
      <c r="H55" s="4"/>
    </row>
    <row r="56" spans="2:12" x14ac:dyDescent="0.3">
      <c r="B56" s="11">
        <v>4</v>
      </c>
      <c r="C56" s="13">
        <v>10500</v>
      </c>
      <c r="D56" s="19" t="s">
        <v>29</v>
      </c>
      <c r="H56" s="4"/>
    </row>
    <row r="57" spans="2:12" x14ac:dyDescent="0.3">
      <c r="B57" s="11">
        <v>517</v>
      </c>
      <c r="C57" s="13">
        <v>16666.669999999998</v>
      </c>
      <c r="D57" s="19" t="s">
        <v>29</v>
      </c>
      <c r="H57" s="4"/>
    </row>
    <row r="58" spans="2:12" x14ac:dyDescent="0.3">
      <c r="B58" s="11">
        <v>1771</v>
      </c>
      <c r="C58" s="13">
        <v>3500</v>
      </c>
      <c r="D58" s="19" t="s">
        <v>29</v>
      </c>
      <c r="H58" s="4"/>
    </row>
    <row r="59" spans="2:12" x14ac:dyDescent="0.3">
      <c r="B59" s="11">
        <v>21945</v>
      </c>
      <c r="C59" s="13">
        <v>5727.25</v>
      </c>
      <c r="D59" s="19" t="s">
        <v>26</v>
      </c>
      <c r="H59" s="4"/>
    </row>
    <row r="60" spans="2:12" x14ac:dyDescent="0.3">
      <c r="B60" s="11">
        <v>9081</v>
      </c>
      <c r="C60" s="13">
        <v>629</v>
      </c>
      <c r="D60" s="19" t="s">
        <v>29</v>
      </c>
      <c r="H60" s="4"/>
    </row>
    <row r="61" spans="2:12" x14ac:dyDescent="0.3">
      <c r="B61" s="12">
        <v>263005978</v>
      </c>
      <c r="C61" s="14">
        <v>1350</v>
      </c>
      <c r="D61" s="20" t="s">
        <v>29</v>
      </c>
    </row>
    <row r="63" spans="2:12" x14ac:dyDescent="0.3">
      <c r="C63" s="15" t="s">
        <v>31</v>
      </c>
      <c r="D63" s="6">
        <f>SUM(C5:C61)</f>
        <v>157493.34666666668</v>
      </c>
      <c r="G63" s="15" t="s">
        <v>31</v>
      </c>
      <c r="H63" s="6">
        <f>SUM(G5:G38)</f>
        <v>56792.071666666663</v>
      </c>
      <c r="K63" s="15" t="s">
        <v>31</v>
      </c>
      <c r="L63" s="6">
        <f>SUM(K5:K21)</f>
        <v>41421.505000000005</v>
      </c>
    </row>
    <row r="1048573" spans="8:8" x14ac:dyDescent="0.3">
      <c r="H1048573" s="4"/>
    </row>
  </sheetData>
  <mergeCells count="1">
    <mergeCell ref="B2:L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TOTAL</vt:lpstr>
      <vt:lpstr>CENTRO</vt:lpstr>
      <vt:lpstr>COHAMA</vt:lpstr>
      <vt:lpstr>MAIOBÃO</vt:lpstr>
      <vt:lpstr>COHAB</vt:lpstr>
      <vt:lpstr>SÃO CRISTÓVÃO</vt:lpstr>
      <vt:lpstr>AFRICANOS</vt:lpstr>
      <vt:lpstr>RENASCENÇA</vt:lpstr>
      <vt:lpstr>SANTA INÊS</vt:lpstr>
      <vt:lpstr>DIRCEU</vt:lpstr>
      <vt:lpstr>CD BR</vt:lpstr>
      <vt:lpstr>CH ADM</vt:lpstr>
      <vt:lpstr>BACABAL</vt:lpstr>
      <vt:lpstr>HOMERO</vt:lpstr>
      <vt:lpstr>VILA ISABEL</vt:lpstr>
      <vt:lpstr>CAXIAS</vt:lpstr>
      <vt:lpstr>FESTI TERESINA</vt:lpstr>
      <vt:lpstr>PARQUE PIAUÍ</vt:lpstr>
      <vt:lpstr>ARAÇAGY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cdchsl-mkt09</dc:creator>
  <cp:lastModifiedBy>cdchsl-mkt09</cp:lastModifiedBy>
  <dcterms:created xsi:type="dcterms:W3CDTF">2026-04-23T16:56:03Z</dcterms:created>
  <dcterms:modified xsi:type="dcterms:W3CDTF">2026-09-04T17:50:44Z</dcterms:modified>
</cp:coreProperties>
</file>